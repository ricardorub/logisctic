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LOGISTIC2\"/>
    </mc:Choice>
  </mc:AlternateContent>
  <xr:revisionPtr revIDLastSave="0" documentId="13_ncr:1_{192E2AC6-F239-4B4E-9B72-6E8A546114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81029"/>
</workbook>
</file>

<file path=xl/calcChain.xml><?xml version="1.0" encoding="utf-8"?>
<calcChain xmlns="http://schemas.openxmlformats.org/spreadsheetml/2006/main">
  <c r="F190" i="2" l="1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2" i="3"/>
</calcChain>
</file>

<file path=xl/sharedStrings.xml><?xml version="1.0" encoding="utf-8"?>
<sst xmlns="http://schemas.openxmlformats.org/spreadsheetml/2006/main" count="743" uniqueCount="428">
  <si>
    <t>Item</t>
  </si>
  <si>
    <t>Producto</t>
  </si>
  <si>
    <t>ID del pedido</t>
  </si>
  <si>
    <t>10197656</t>
  </si>
  <si>
    <t>87846551</t>
  </si>
  <si>
    <t>13814354</t>
  </si>
  <si>
    <t>81501147</t>
  </si>
  <si>
    <t>23049743</t>
  </si>
  <si>
    <t>65707768</t>
  </si>
  <si>
    <t>50873053</t>
  </si>
  <si>
    <t>66108097</t>
  </si>
  <si>
    <t>80149573</t>
  </si>
  <si>
    <t>83750176</t>
  </si>
  <si>
    <t>68947969</t>
  </si>
  <si>
    <t>46072202</t>
  </si>
  <si>
    <t>35018340</t>
  </si>
  <si>
    <t>56801945</t>
  </si>
  <si>
    <t>27450884</t>
  </si>
  <si>
    <t>39632581</t>
  </si>
  <si>
    <t>95765752</t>
  </si>
  <si>
    <t>97985928</t>
  </si>
  <si>
    <t>14263108</t>
  </si>
  <si>
    <t>92315488</t>
  </si>
  <si>
    <t>75028912</t>
  </si>
  <si>
    <t>77790152</t>
  </si>
  <si>
    <t>89311596</t>
  </si>
  <si>
    <t>27574065</t>
  </si>
  <si>
    <t>62894717</t>
  </si>
  <si>
    <t>82042337</t>
  </si>
  <si>
    <t>87130338</t>
  </si>
  <si>
    <t>17029358</t>
  </si>
  <si>
    <t>90946701</t>
  </si>
  <si>
    <t>91291818</t>
  </si>
  <si>
    <t>44657753</t>
  </si>
  <si>
    <t>72106203</t>
  </si>
  <si>
    <t>83176993</t>
  </si>
  <si>
    <t>33252897</t>
  </si>
  <si>
    <t>36410123</t>
  </si>
  <si>
    <t>47240119</t>
  </si>
  <si>
    <t>83173758</t>
  </si>
  <si>
    <t>79977546</t>
  </si>
  <si>
    <t>29365242</t>
  </si>
  <si>
    <t>39827761</t>
  </si>
  <si>
    <t>43402286</t>
  </si>
  <si>
    <t>92834109</t>
  </si>
  <si>
    <t>12705080</t>
  </si>
  <si>
    <t>48783513</t>
  </si>
  <si>
    <t>47470143</t>
  </si>
  <si>
    <t>49160329</t>
  </si>
  <si>
    <t>11224777</t>
  </si>
  <si>
    <t>50328875</t>
  </si>
  <si>
    <t>68738791</t>
  </si>
  <si>
    <t>45063062</t>
  </si>
  <si>
    <t>64302839</t>
  </si>
  <si>
    <t>42942009</t>
  </si>
  <si>
    <t>84566383</t>
  </si>
  <si>
    <t>12835710</t>
  </si>
  <si>
    <t>43950726</t>
  </si>
  <si>
    <t>31729817</t>
  </si>
  <si>
    <t>31444443</t>
  </si>
  <si>
    <t>28704043</t>
  </si>
  <si>
    <t>13160876</t>
  </si>
  <si>
    <t>19957282</t>
  </si>
  <si>
    <t>86889267</t>
  </si>
  <si>
    <t>37051916</t>
  </si>
  <si>
    <t>44338793</t>
  </si>
  <si>
    <t>35647543</t>
  </si>
  <si>
    <t>49481624</t>
  </si>
  <si>
    <t>52270447</t>
  </si>
  <si>
    <t>62527000</t>
  </si>
  <si>
    <t>65972822</t>
  </si>
  <si>
    <t>21670398</t>
  </si>
  <si>
    <t>75571885</t>
  </si>
  <si>
    <t>61249132</t>
  </si>
  <si>
    <t>48066405</t>
  </si>
  <si>
    <t>78973575</t>
  </si>
  <si>
    <t>18208198</t>
  </si>
  <si>
    <t>10616040</t>
  </si>
  <si>
    <t>94869434</t>
  </si>
  <si>
    <t>78718465</t>
  </si>
  <si>
    <t>38634545</t>
  </si>
  <si>
    <t>93197650</t>
  </si>
  <si>
    <t>19303367</t>
  </si>
  <si>
    <t>74736684</t>
  </si>
  <si>
    <t>12497592</t>
  </si>
  <si>
    <t>49834880</t>
  </si>
  <si>
    <t>41204812</t>
  </si>
  <si>
    <t>60142856</t>
  </si>
  <si>
    <t>66362894</t>
  </si>
  <si>
    <t>69318726</t>
  </si>
  <si>
    <t>33419179</t>
  </si>
  <si>
    <t>59879664</t>
  </si>
  <si>
    <t>42031602</t>
  </si>
  <si>
    <t>81980647</t>
  </si>
  <si>
    <t>93617771</t>
  </si>
  <si>
    <t>26350064</t>
  </si>
  <si>
    <t>89496451</t>
  </si>
  <si>
    <t>42844141</t>
  </si>
  <si>
    <t>45434064</t>
  </si>
  <si>
    <t>28341186</t>
  </si>
  <si>
    <t>15067323</t>
  </si>
  <si>
    <t>47036497</t>
  </si>
  <si>
    <t>89882548</t>
  </si>
  <si>
    <t>17974319</t>
  </si>
  <si>
    <t>18438603</t>
  </si>
  <si>
    <t>71342133</t>
  </si>
  <si>
    <t>53056236</t>
  </si>
  <si>
    <t>29487760</t>
  </si>
  <si>
    <t>15332289</t>
  </si>
  <si>
    <t>63936340</t>
  </si>
  <si>
    <t>56255632</t>
  </si>
  <si>
    <t>98902099</t>
  </si>
  <si>
    <t>49970396</t>
  </si>
  <si>
    <t>75595520</t>
  </si>
  <si>
    <t>19044978</t>
  </si>
  <si>
    <t>41447934</t>
  </si>
  <si>
    <t>88510140</t>
  </si>
  <si>
    <t>18059155</t>
  </si>
  <si>
    <t>23196956</t>
  </si>
  <si>
    <t>82378280</t>
  </si>
  <si>
    <t>98491439</t>
  </si>
  <si>
    <t>19872332</t>
  </si>
  <si>
    <t>26851295</t>
  </si>
  <si>
    <t>69308882</t>
  </si>
  <si>
    <t>78306149</t>
  </si>
  <si>
    <t>54885213</t>
  </si>
  <si>
    <t>41821589</t>
  </si>
  <si>
    <t>80057288</t>
  </si>
  <si>
    <t>29499618</t>
  </si>
  <si>
    <t>62573379</t>
  </si>
  <si>
    <t>46560556</t>
  </si>
  <si>
    <t>95529035</t>
  </si>
  <si>
    <t>16463072</t>
  </si>
  <si>
    <t>96685789</t>
  </si>
  <si>
    <t>90773918</t>
  </si>
  <si>
    <t>68000050</t>
  </si>
  <si>
    <t>53507224</t>
  </si>
  <si>
    <t>65301533</t>
  </si>
  <si>
    <t>48170326</t>
  </si>
  <si>
    <t>21016066</t>
  </si>
  <si>
    <t>48514641</t>
  </si>
  <si>
    <t>71702950</t>
  </si>
  <si>
    <t>48447133</t>
  </si>
  <si>
    <t>90749692</t>
  </si>
  <si>
    <t>46870448</t>
  </si>
  <si>
    <t>37484252</t>
  </si>
  <si>
    <t>43348090</t>
  </si>
  <si>
    <t>16318130</t>
  </si>
  <si>
    <t>63185261</t>
  </si>
  <si>
    <t>96275851</t>
  </si>
  <si>
    <t>92317166</t>
  </si>
  <si>
    <t>29141358</t>
  </si>
  <si>
    <t>66761796</t>
  </si>
  <si>
    <t>27672067</t>
  </si>
  <si>
    <t>29036299</t>
  </si>
  <si>
    <t>78644160</t>
  </si>
  <si>
    <t>15435253</t>
  </si>
  <si>
    <t>11686837</t>
  </si>
  <si>
    <t>33167340</t>
  </si>
  <si>
    <t>96245679</t>
  </si>
  <si>
    <t>59815626</t>
  </si>
  <si>
    <t>42496897</t>
  </si>
  <si>
    <t>HORNO MICROONDAS DIGITAL 20L LG</t>
  </si>
  <si>
    <t>TELEVISOR SMART TV 50'' UHD SONY</t>
  </si>
  <si>
    <t>HORNO ELÉCTRICO 60L THOMAS</t>
  </si>
  <si>
    <t>FREIDORA DE AIRE DIGITAL 5L XIAOMI</t>
  </si>
  <si>
    <t>LICUADORA VASO PLÁSTICO PSB02_8V ELECTROLUX</t>
  </si>
  <si>
    <t>CONGELADORA HORIZONTAL 200L HISENSE</t>
  </si>
  <si>
    <t>LICUADORA VASO VIDRIO BLACK+DECKER</t>
  </si>
  <si>
    <t>LAVADORA CARGA FRONTAL 15KG WHIRLPOOL</t>
  </si>
  <si>
    <t>TOSTADORA ELÉCTRICA PHILIPS DAILY</t>
  </si>
  <si>
    <t>PLANCHA A VAPOR PANASONIC 1200W</t>
  </si>
  <si>
    <t>AIRE ACONDICIONADO SPLIT 12000BTU LG</t>
  </si>
  <si>
    <t>SECADORA ELÉCTRICA 20KG MABE</t>
  </si>
  <si>
    <t>VENTILADOR DE PEDESTAL 3 VELOCIDADES IMACO</t>
  </si>
  <si>
    <t>ASPIRADORA CICLÓNICA SIN BOLSA BOSCH</t>
  </si>
  <si>
    <t>COCINA A GAS 4 HORNILLAS INDURAMA</t>
  </si>
  <si>
    <t>PARRILLA ELÉCTRICA OSTER 1800W</t>
  </si>
  <si>
    <t>BATIDORA DE MANO OSTER 250W</t>
  </si>
  <si>
    <t>EXTRACTOR DE JUGOS MOULINEX INFINY JUICE</t>
  </si>
  <si>
    <t>CAFETERA AUTOMÁTICA PHILIPS SERIE 2200</t>
  </si>
  <si>
    <t>REFRIGERADORA NO FROST 300L SAMSUNG</t>
  </si>
  <si>
    <t>HORNO MICROONDAS DIGITAL 10L LG</t>
  </si>
  <si>
    <t>MICROONDAS DIGITAL 20L PANASONIC</t>
  </si>
  <si>
    <t>REFRIGERADORA 250L SAMSUNG</t>
  </si>
  <si>
    <t>HORNO ELÉCTRICO 45L OSTER</t>
  </si>
  <si>
    <t>ASPIRADORA CICLÓNICA LG</t>
  </si>
  <si>
    <t>LAVADORA AUTOMÁTICA 10KG MABE</t>
  </si>
  <si>
    <t>PLANCHA A VAPOR PHILIPS</t>
  </si>
  <si>
    <t>CAFETERA PROGRAMABLE BLACK+DECKER</t>
  </si>
  <si>
    <t>BATIDORA DE PEDESTAL KITCHENAID</t>
  </si>
  <si>
    <t>LICUADORA VASO VIDRIO OSTER</t>
  </si>
  <si>
    <t>HORNO MICROONDAS GRILL LG</t>
  </si>
  <si>
    <t>ASPIRADORA ROBOT ROOMBA</t>
  </si>
  <si>
    <t>LAVADORA SEMIAUTOMÁTICA 12KG SAMSUNG</t>
  </si>
  <si>
    <t>REFRIGERADORA SIDE BY SIDE LG</t>
  </si>
  <si>
    <t>LICUADORA MULTIFUNCIÓN PHILIPS</t>
  </si>
  <si>
    <t>HORNO ELÉCTRICO 60L OSTER</t>
  </si>
  <si>
    <t>PLANCHA VERTICAL A VAPOR ROWENTA</t>
  </si>
  <si>
    <t>CAFETERA EXPRESS DELONGHI</t>
  </si>
  <si>
    <t>BATIDORA MANUAL OSTER</t>
  </si>
  <si>
    <t>LAVADORA CARGA FRONTAL WHIRLPOOL</t>
  </si>
  <si>
    <t>MICROONDAS 25L SAMSUNG</t>
  </si>
  <si>
    <t>REFRIGERADORA NO FROST MABE</t>
  </si>
  <si>
    <t>HORNO ELÉCTRICO PEQUEÑO OSTER</t>
  </si>
  <si>
    <t>ASPIRADORA MANUAL BLACK+DECKER</t>
  </si>
  <si>
    <t>LICUADORA INDUSTRIAL HAMILTON BEACH</t>
  </si>
  <si>
    <t>MICROONDAS INVERTER PANASONIC</t>
  </si>
  <si>
    <t>LAVADORA AUTOMÁTICA 12KG LG</t>
  </si>
  <si>
    <t>CAFETERA DE CÁPSULAS NESPRESSO</t>
  </si>
  <si>
    <t>PLANCHA ANTIADHERENTE OSTER</t>
  </si>
  <si>
    <t>BATIDORA DE MANO BLACK+DECKER</t>
  </si>
  <si>
    <t>Master G</t>
  </si>
  <si>
    <t>Importaciones Hiraoka</t>
  </si>
  <si>
    <t>Tiendas EFE</t>
  </si>
  <si>
    <t>Electro Tiendas</t>
  </si>
  <si>
    <t>Diproelsac</t>
  </si>
  <si>
    <t>Electro D&amp;A</t>
  </si>
  <si>
    <t>Grupo Yang Perú</t>
  </si>
  <si>
    <t>Electrogarline</t>
  </si>
  <si>
    <t>TiendaPlus</t>
  </si>
  <si>
    <t>Tiendas Kaemy</t>
  </si>
  <si>
    <t>La Curazao</t>
  </si>
  <si>
    <t>Carsa</t>
  </si>
  <si>
    <t>El Gallo mas gallo</t>
  </si>
  <si>
    <t>cobertura</t>
  </si>
  <si>
    <t>frecuencia</t>
  </si>
  <si>
    <t>duracion</t>
  </si>
  <si>
    <t>LEAD TIME</t>
  </si>
  <si>
    <t>FRECUENCIA</t>
  </si>
  <si>
    <t>COBERTURA</t>
  </si>
  <si>
    <t>OC-2025-54321</t>
  </si>
  <si>
    <t>OC-2025-12876</t>
  </si>
  <si>
    <t>OC-2025-98765</t>
  </si>
  <si>
    <t>OC-2025-37462</t>
  </si>
  <si>
    <t>OC-2025-84217</t>
  </si>
  <si>
    <t>OC-2025-91563</t>
  </si>
  <si>
    <t>OC-2025-45126</t>
  </si>
  <si>
    <t>OC-2025-23658</t>
  </si>
  <si>
    <t>OC-2025-78954</t>
  </si>
  <si>
    <t>OC-2025-36984</t>
  </si>
  <si>
    <t>OC-2025-51937</t>
  </si>
  <si>
    <t>OC-2025-74829</t>
  </si>
  <si>
    <t>OC-2025-65819</t>
  </si>
  <si>
    <t>OC-2025-29751</t>
  </si>
  <si>
    <t>OC-2025-95471</t>
  </si>
  <si>
    <t>OC-2025-18459</t>
  </si>
  <si>
    <t>OC-2025-73268</t>
  </si>
  <si>
    <t>OC-2025-26387</t>
  </si>
  <si>
    <t>OC-2025-89514</t>
  </si>
  <si>
    <t>OC-2025-54813</t>
  </si>
  <si>
    <t>OC-2025-45721</t>
  </si>
  <si>
    <t>OC-2025-19374</t>
  </si>
  <si>
    <t>OC-2025-72815</t>
  </si>
  <si>
    <t>OC-2025-35491</t>
  </si>
  <si>
    <t>OC-2025-92163</t>
  </si>
  <si>
    <t>OC-2025-17652</t>
  </si>
  <si>
    <t>OC-2025-65247</t>
  </si>
  <si>
    <t>OC-2025-28513</t>
  </si>
  <si>
    <t>OC-2025-87125</t>
  </si>
  <si>
    <t>OC-2025-41985</t>
  </si>
  <si>
    <t>OC-2025-73883</t>
  </si>
  <si>
    <t>OC-2025-77344</t>
  </si>
  <si>
    <t>OC-2025-99185</t>
  </si>
  <si>
    <t>OC-2025-39307</t>
  </si>
  <si>
    <t>OC-2025-61855</t>
  </si>
  <si>
    <t>OC-2025-12223</t>
  </si>
  <si>
    <t>OC-2025-50320</t>
  </si>
  <si>
    <t>OC-2025-89089</t>
  </si>
  <si>
    <t>OC-2025-69851</t>
  </si>
  <si>
    <t>OC-2025-62853</t>
  </si>
  <si>
    <t>OC-2025-40482</t>
  </si>
  <si>
    <t>OC-2025-95313</t>
  </si>
  <si>
    <t>OC-2025-91779</t>
  </si>
  <si>
    <t>OC-2025-63851</t>
  </si>
  <si>
    <t>OC-2025-14903</t>
  </si>
  <si>
    <t>OC-2025-27605</t>
  </si>
  <si>
    <t>OC-2025-37564</t>
  </si>
  <si>
    <t>OC-2025-30053</t>
  </si>
  <si>
    <t>OC-2025-45606</t>
  </si>
  <si>
    <t>OC-2025-23698</t>
  </si>
  <si>
    <t>OC-2025-44242</t>
  </si>
  <si>
    <t>OC-2025-65199</t>
  </si>
  <si>
    <t>OC-2025-95126</t>
  </si>
  <si>
    <t>OC-2025-88052</t>
  </si>
  <si>
    <t>OC-2025-61750</t>
  </si>
  <si>
    <t>OC-2025-37889</t>
  </si>
  <si>
    <t>OC-2025-87560</t>
  </si>
  <si>
    <t>OC-2025-17458</t>
  </si>
  <si>
    <t>OC-2025-59379</t>
  </si>
  <si>
    <t>OC-2025-47464</t>
  </si>
  <si>
    <t>OC-2025-86756</t>
  </si>
  <si>
    <t>OC-2025-56266</t>
  </si>
  <si>
    <t>OC-2025-23198</t>
  </si>
  <si>
    <t>OC-2025-50102</t>
  </si>
  <si>
    <t>OC-2025-52747</t>
  </si>
  <si>
    <t>OC-2025-57307</t>
  </si>
  <si>
    <t>OC-2025-30292</t>
  </si>
  <si>
    <t>OC-2025-15244</t>
  </si>
  <si>
    <t>OC-2025-45290</t>
  </si>
  <si>
    <t>OC-2025-41580</t>
  </si>
  <si>
    <t>OC-2025-71370</t>
  </si>
  <si>
    <t>OC-2025-91969</t>
  </si>
  <si>
    <t>OC-2025-45197</t>
  </si>
  <si>
    <t>OC-2025-35480</t>
  </si>
  <si>
    <t>OC-2025-74965</t>
  </si>
  <si>
    <t>OC-2025-97440</t>
  </si>
  <si>
    <t>OC-2025-60270</t>
  </si>
  <si>
    <t>OC-2025-34203</t>
  </si>
  <si>
    <t>OC-2025-26705</t>
  </si>
  <si>
    <t>OC-2025-69953</t>
  </si>
  <si>
    <t>OC-2025-61175</t>
  </si>
  <si>
    <t>OC-2025-23490</t>
  </si>
  <si>
    <t>OC-2025-50460</t>
  </si>
  <si>
    <t>OC-2025-31208</t>
  </si>
  <si>
    <t>OC-2025-80289</t>
  </si>
  <si>
    <t>OC-2025-27985</t>
  </si>
  <si>
    <t>OC-2025-34858</t>
  </si>
  <si>
    <t>OC-2025-90264</t>
  </si>
  <si>
    <t>OC-2025-30867</t>
  </si>
  <si>
    <t>OC-2025-54409</t>
  </si>
  <si>
    <t>OC-2025-35328</t>
  </si>
  <si>
    <t>OC-2025-93249</t>
  </si>
  <si>
    <t>OC-2025-33274</t>
  </si>
  <si>
    <t>OC-2025-92513</t>
  </si>
  <si>
    <t>OC-2025-52852</t>
  </si>
  <si>
    <t>OC-2025-69762</t>
  </si>
  <si>
    <t>OC-2025-64736</t>
  </si>
  <si>
    <t>OC-2025-56249</t>
  </si>
  <si>
    <t>OC-2025-76152</t>
  </si>
  <si>
    <t>OC-2025-15863</t>
  </si>
  <si>
    <t>OC-2025-27857</t>
  </si>
  <si>
    <t>OC-2025-39981</t>
  </si>
  <si>
    <t>OC-2025-86314</t>
  </si>
  <si>
    <t>OC-2025-24468</t>
  </si>
  <si>
    <t>OC-2025-37416</t>
  </si>
  <si>
    <t>OC-2025-73549</t>
  </si>
  <si>
    <t>OC-2025-52626</t>
  </si>
  <si>
    <t>OC-2025-99100</t>
  </si>
  <si>
    <t>OC-2025-85113</t>
  </si>
  <si>
    <t>OC-2025-15219</t>
  </si>
  <si>
    <t>OC-2025-53123</t>
  </si>
  <si>
    <t>OC-2025-52951</t>
  </si>
  <si>
    <t>OC-2025-30668</t>
  </si>
  <si>
    <t>OC-2025-21893</t>
  </si>
  <si>
    <t>OC-2025-66707</t>
  </si>
  <si>
    <t>OC-2025-24107</t>
  </si>
  <si>
    <t>OC-2025-59860</t>
  </si>
  <si>
    <t>OC-2025-64055</t>
  </si>
  <si>
    <t>OC-2025-11531</t>
  </si>
  <si>
    <t>OC-2025-86796</t>
  </si>
  <si>
    <t>OC-2025-34491</t>
  </si>
  <si>
    <t>OC-2025-62457</t>
  </si>
  <si>
    <t>OC-2025-36445</t>
  </si>
  <si>
    <t>OC-2025-67667</t>
  </si>
  <si>
    <t>OC-2025-89994</t>
  </si>
  <si>
    <t>OC-2025-98157</t>
  </si>
  <si>
    <t>OC-2025-56300</t>
  </si>
  <si>
    <t>OC-2025-67819</t>
  </si>
  <si>
    <t>OC-2025-65473</t>
  </si>
  <si>
    <t>OC-2025-22722</t>
  </si>
  <si>
    <t>OC-2025-79466</t>
  </si>
  <si>
    <t>OC-2025-50311</t>
  </si>
  <si>
    <t>OC-2025-54215</t>
  </si>
  <si>
    <t>OC-2025-80145</t>
  </si>
  <si>
    <t>OC-2025-88603</t>
  </si>
  <si>
    <t>OC-2025-67904</t>
  </si>
  <si>
    <t>OC-2025-86132</t>
  </si>
  <si>
    <t>OC-2025-60617</t>
  </si>
  <si>
    <t>OC-2025-99047</t>
  </si>
  <si>
    <t>OC-2025-34207</t>
  </si>
  <si>
    <t>OC-2025-35291</t>
  </si>
  <si>
    <t>OC-2025-90750</t>
  </si>
  <si>
    <t>OC-2025-29986</t>
  </si>
  <si>
    <t>OC-2025-85980</t>
  </si>
  <si>
    <t>OC-2025-44843</t>
  </si>
  <si>
    <t>OC-2025-26571</t>
  </si>
  <si>
    <t>OC-2025-16615</t>
  </si>
  <si>
    <t>OC-2025-86817</t>
  </si>
  <si>
    <t>OC-2025-14431</t>
  </si>
  <si>
    <t>OC-2025-96935</t>
  </si>
  <si>
    <t>OC-2025-75753</t>
  </si>
  <si>
    <t>OC-2025-24256</t>
  </si>
  <si>
    <t>OC-2025-55387</t>
  </si>
  <si>
    <t>OC-2025-24914</t>
  </si>
  <si>
    <t>OC-2025-96449</t>
  </si>
  <si>
    <t>OC-2025-98670</t>
  </si>
  <si>
    <t>OC-2025-50968</t>
  </si>
  <si>
    <t>OC-2025-73169</t>
  </si>
  <si>
    <t>OC-2025-14268</t>
  </si>
  <si>
    <t>OC-2025-43406</t>
  </si>
  <si>
    <t>OC-2025-67265</t>
  </si>
  <si>
    <t>OC-2025-57039</t>
  </si>
  <si>
    <t>OC-2025-18577</t>
  </si>
  <si>
    <t>OC-2025-27669</t>
  </si>
  <si>
    <t>OC-2025-87408</t>
  </si>
  <si>
    <t>OC-2025-90876</t>
  </si>
  <si>
    <t>OC-2025-38207</t>
  </si>
  <si>
    <t>OC-2025-47100</t>
  </si>
  <si>
    <t>OC-2025-95833</t>
  </si>
  <si>
    <t>OC-2025-69739</t>
  </si>
  <si>
    <t>OC-2025-48489</t>
  </si>
  <si>
    <t>OC-2025-89906</t>
  </si>
  <si>
    <t>OC-2025-44528</t>
  </si>
  <si>
    <t>OC-2025-12545</t>
  </si>
  <si>
    <t>OC-2025-85820</t>
  </si>
  <si>
    <t>OC-2025-53425</t>
  </si>
  <si>
    <t>OC-2025-13576</t>
  </si>
  <si>
    <t>OC-2025-13309</t>
  </si>
  <si>
    <t>OC-2025-89280</t>
  </si>
  <si>
    <t>OC-2025-64296</t>
  </si>
  <si>
    <t>OC-2025-61687</t>
  </si>
  <si>
    <t>OC-2025-22700</t>
  </si>
  <si>
    <t>OC-2025-33957</t>
  </si>
  <si>
    <t>OC-2025-79159</t>
  </si>
  <si>
    <t>OC-2025-53659</t>
  </si>
  <si>
    <t>OC-2025-52403</t>
  </si>
  <si>
    <t>OC-2025-60725</t>
  </si>
  <si>
    <t>OC-2025-46148</t>
  </si>
  <si>
    <t>OC-2025-41384</t>
  </si>
  <si>
    <t>tiempo_entrega</t>
  </si>
  <si>
    <t>numero_pedidos</t>
  </si>
  <si>
    <t>SKU</t>
  </si>
  <si>
    <t>Proveedor</t>
  </si>
  <si>
    <t>Fecha de pedido</t>
  </si>
  <si>
    <t>Fecha de recepción</t>
  </si>
  <si>
    <t>stock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</si>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</sst>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1" fontId="0" fillId="0" borderId="0" xfId="0" applyNumberFormat="1"/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14" fontId="3" fillId="2" borderId="4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1"/>
  <sheetViews>
    <sheetView tabSelected="1" topLeftCell="A154" zoomScale="85" zoomScaleNormal="85" workbookViewId="0">
      <selection activeCell="M171" sqref="M171:M172"/>
    </sheetView>
  </sheetViews>
  <sheetFormatPr defaultColWidth="8.7265625" defaultRowHeight="14.5" x14ac:dyDescent="0.35"/>
  <cols>
    <col min="1" max="1" width="4.7265625" bestFit="1" customWidth="1"/>
    <col min="2" max="2" width="9.54296875" bestFit="1" customWidth="1"/>
    <col min="3" max="3" width="45.1796875" customWidth="1"/>
    <col min="4" max="4" width="20" bestFit="1" customWidth="1"/>
    <col min="5" max="5" width="12.81640625" bestFit="1" customWidth="1"/>
    <col min="6" max="6" width="15" bestFit="1" customWidth="1"/>
    <col min="7" max="7" width="14.453125" bestFit="1" customWidth="1"/>
    <col min="8" max="8" width="5.453125" bestFit="1" customWidth="1"/>
    <col min="9" max="9" width="6.6328125" bestFit="1" customWidth="1"/>
    <col min="10" max="10" width="8.36328125" bestFit="1" customWidth="1"/>
    <col min="11" max="11" width="15.36328125" bestFit="1" customWidth="1"/>
    <col min="12" max="12" width="14.7265625" bestFit="1" customWidth="1"/>
    <col min="13" max="13" width="9.26953125" bestFit="1" customWidth="1"/>
    <col min="14" max="14" width="9.81640625" bestFit="1" customWidth="1"/>
  </cols>
  <sheetData>
    <row r="1" spans="1:14" x14ac:dyDescent="0.35">
      <c r="A1" s="1" t="s">
        <v>0</v>
      </c>
      <c r="B1" s="1" t="s">
        <v>422</v>
      </c>
      <c r="C1" s="1" t="s">
        <v>1</v>
      </c>
      <c r="D1" s="1" t="s">
        <v>423</v>
      </c>
      <c r="E1" s="1" t="s">
        <v>424</v>
      </c>
      <c r="F1" s="1" t="s">
        <v>425</v>
      </c>
      <c r="G1" s="1" t="s">
        <v>2</v>
      </c>
      <c r="H1" s="1" t="s">
        <v>426</v>
      </c>
      <c r="I1" s="1" t="s">
        <v>427</v>
      </c>
      <c r="J1" s="1" t="s">
        <v>227</v>
      </c>
      <c r="K1" s="1" t="s">
        <v>421</v>
      </c>
      <c r="L1" s="1" t="s">
        <v>420</v>
      </c>
      <c r="M1" s="1" t="s">
        <v>225</v>
      </c>
      <c r="N1" s="1" t="s">
        <v>226</v>
      </c>
    </row>
    <row r="2" spans="1:14" x14ac:dyDescent="0.35">
      <c r="A2" s="3">
        <v>1</v>
      </c>
      <c r="B2" s="3">
        <v>34300001</v>
      </c>
      <c r="C2" s="2" t="s">
        <v>166</v>
      </c>
      <c r="D2" s="2" t="s">
        <v>212</v>
      </c>
      <c r="E2" s="12">
        <v>45796</v>
      </c>
      <c r="F2" s="12">
        <v>45805</v>
      </c>
      <c r="G2" s="12" t="s">
        <v>231</v>
      </c>
      <c r="H2" s="14">
        <v>96</v>
      </c>
      <c r="I2" s="3">
        <v>410</v>
      </c>
      <c r="J2">
        <v>92</v>
      </c>
      <c r="K2" s="14">
        <v>164</v>
      </c>
      <c r="L2" s="13">
        <v>9</v>
      </c>
      <c r="M2" s="15">
        <v>21.54</v>
      </c>
      <c r="N2" s="7">
        <v>1.78</v>
      </c>
    </row>
    <row r="3" spans="1:14" x14ac:dyDescent="0.35">
      <c r="A3" s="3">
        <v>2</v>
      </c>
      <c r="B3" s="3">
        <v>34300002</v>
      </c>
      <c r="C3" s="2" t="s">
        <v>183</v>
      </c>
      <c r="D3" s="2" t="s">
        <v>213</v>
      </c>
      <c r="E3" s="12">
        <v>45815</v>
      </c>
      <c r="F3" s="12">
        <v>45824</v>
      </c>
      <c r="G3" s="12" t="s">
        <v>232</v>
      </c>
      <c r="H3" s="14">
        <v>93</v>
      </c>
      <c r="I3" s="3">
        <v>390</v>
      </c>
      <c r="J3">
        <v>92</v>
      </c>
      <c r="K3" s="14">
        <v>148</v>
      </c>
      <c r="L3" s="13">
        <v>9</v>
      </c>
      <c r="M3" s="15">
        <v>21.94</v>
      </c>
      <c r="N3" s="7">
        <v>1.61</v>
      </c>
    </row>
    <row r="4" spans="1:14" x14ac:dyDescent="0.35">
      <c r="A4" s="3">
        <v>3</v>
      </c>
      <c r="B4" s="3">
        <v>34300003</v>
      </c>
      <c r="C4" s="2" t="s">
        <v>184</v>
      </c>
      <c r="D4" s="2" t="s">
        <v>214</v>
      </c>
      <c r="E4" s="12">
        <v>45824</v>
      </c>
      <c r="F4" s="12">
        <v>45834</v>
      </c>
      <c r="G4" s="12" t="s">
        <v>233</v>
      </c>
      <c r="H4" s="14">
        <v>57</v>
      </c>
      <c r="I4" s="3">
        <v>755</v>
      </c>
      <c r="J4">
        <v>92</v>
      </c>
      <c r="K4" s="14">
        <v>182</v>
      </c>
      <c r="L4" s="13">
        <v>10</v>
      </c>
      <c r="M4" s="15">
        <v>20.350000000000001</v>
      </c>
      <c r="N4" s="7">
        <v>1.98</v>
      </c>
    </row>
    <row r="5" spans="1:14" x14ac:dyDescent="0.35">
      <c r="A5" s="3">
        <v>4</v>
      </c>
      <c r="B5" s="3">
        <v>34300004</v>
      </c>
      <c r="C5" s="2" t="s">
        <v>185</v>
      </c>
      <c r="D5" s="2" t="s">
        <v>215</v>
      </c>
      <c r="E5" s="12">
        <v>45802</v>
      </c>
      <c r="F5" s="12">
        <v>45811</v>
      </c>
      <c r="G5" s="12" t="s">
        <v>234</v>
      </c>
      <c r="H5" s="14">
        <v>114</v>
      </c>
      <c r="I5" s="3">
        <v>350</v>
      </c>
      <c r="J5">
        <v>92</v>
      </c>
      <c r="K5" s="14">
        <v>140</v>
      </c>
      <c r="L5" s="13">
        <v>9</v>
      </c>
      <c r="M5" s="15">
        <v>29.97</v>
      </c>
      <c r="N5" s="7">
        <v>1.52</v>
      </c>
    </row>
    <row r="6" spans="1:14" x14ac:dyDescent="0.35">
      <c r="A6" s="3">
        <v>5</v>
      </c>
      <c r="B6" s="3">
        <v>34300005</v>
      </c>
      <c r="C6" s="2" t="s">
        <v>186</v>
      </c>
      <c r="D6" s="2" t="s">
        <v>216</v>
      </c>
      <c r="E6" s="12">
        <v>45807</v>
      </c>
      <c r="F6" s="12">
        <v>45812</v>
      </c>
      <c r="G6" s="12" t="s">
        <v>235</v>
      </c>
      <c r="H6" s="14">
        <v>112</v>
      </c>
      <c r="I6" s="3">
        <v>300</v>
      </c>
      <c r="J6">
        <v>92</v>
      </c>
      <c r="K6" s="14">
        <v>144</v>
      </c>
      <c r="L6" s="13">
        <v>5</v>
      </c>
      <c r="M6" s="15">
        <v>34.35</v>
      </c>
      <c r="N6" s="7">
        <v>1.57</v>
      </c>
    </row>
    <row r="7" spans="1:14" x14ac:dyDescent="0.35">
      <c r="A7" s="3">
        <v>6</v>
      </c>
      <c r="B7" s="3">
        <v>34300006</v>
      </c>
      <c r="C7" s="2" t="s">
        <v>187</v>
      </c>
      <c r="D7" s="2" t="s">
        <v>217</v>
      </c>
      <c r="E7" s="12">
        <v>45823</v>
      </c>
      <c r="F7" s="12">
        <v>45830</v>
      </c>
      <c r="G7" s="12" t="s">
        <v>236</v>
      </c>
      <c r="H7" s="14">
        <v>44</v>
      </c>
      <c r="I7" s="3">
        <v>790</v>
      </c>
      <c r="J7">
        <v>92</v>
      </c>
      <c r="K7" s="14">
        <v>106</v>
      </c>
      <c r="L7" s="13">
        <v>7</v>
      </c>
      <c r="M7" s="15">
        <v>21.43</v>
      </c>
      <c r="N7" s="7">
        <v>1.1499999999999999</v>
      </c>
    </row>
    <row r="8" spans="1:14" x14ac:dyDescent="0.35">
      <c r="A8" s="3">
        <v>7</v>
      </c>
      <c r="B8" s="3">
        <v>34300007</v>
      </c>
      <c r="C8" s="2" t="s">
        <v>188</v>
      </c>
      <c r="D8" s="2" t="s">
        <v>218</v>
      </c>
      <c r="E8" s="12">
        <v>45821</v>
      </c>
      <c r="F8" s="12">
        <v>45829</v>
      </c>
      <c r="G8" s="12" t="s">
        <v>237</v>
      </c>
      <c r="H8" s="14">
        <v>84</v>
      </c>
      <c r="I8" s="3">
        <v>290</v>
      </c>
      <c r="J8">
        <v>92</v>
      </c>
      <c r="K8" s="14">
        <v>130</v>
      </c>
      <c r="L8" s="13">
        <v>8</v>
      </c>
      <c r="M8" s="15">
        <v>26.65</v>
      </c>
      <c r="N8" s="7">
        <v>1.41</v>
      </c>
    </row>
    <row r="9" spans="1:14" x14ac:dyDescent="0.35">
      <c r="A9" s="3">
        <v>8</v>
      </c>
      <c r="B9" s="3">
        <v>34300008</v>
      </c>
      <c r="C9" s="2" t="s">
        <v>189</v>
      </c>
      <c r="D9" s="2" t="s">
        <v>219</v>
      </c>
      <c r="E9" s="12">
        <v>45813</v>
      </c>
      <c r="F9" s="12">
        <v>45821</v>
      </c>
      <c r="G9" s="12" t="s">
        <v>238</v>
      </c>
      <c r="H9" s="14">
        <v>95</v>
      </c>
      <c r="I9" s="3">
        <v>310</v>
      </c>
      <c r="J9">
        <v>92</v>
      </c>
      <c r="K9" s="14">
        <v>160</v>
      </c>
      <c r="L9" s="13">
        <v>8</v>
      </c>
      <c r="M9" s="15">
        <v>28.19</v>
      </c>
      <c r="N9" s="7">
        <v>1.74</v>
      </c>
    </row>
    <row r="10" spans="1:14" x14ac:dyDescent="0.35">
      <c r="A10" s="3">
        <v>9</v>
      </c>
      <c r="B10" s="3">
        <v>34300009</v>
      </c>
      <c r="C10" s="2" t="s">
        <v>190</v>
      </c>
      <c r="D10" s="2" t="s">
        <v>220</v>
      </c>
      <c r="E10" s="12">
        <v>45800</v>
      </c>
      <c r="F10" s="12">
        <v>45805</v>
      </c>
      <c r="G10" s="12" t="s">
        <v>239</v>
      </c>
      <c r="H10" s="14">
        <v>107</v>
      </c>
      <c r="I10" s="3">
        <v>360</v>
      </c>
      <c r="J10">
        <v>92</v>
      </c>
      <c r="K10" s="14">
        <v>162</v>
      </c>
      <c r="L10" s="13">
        <v>5</v>
      </c>
      <c r="M10" s="15">
        <v>27.34</v>
      </c>
      <c r="N10" s="7">
        <v>1.76</v>
      </c>
    </row>
    <row r="11" spans="1:14" x14ac:dyDescent="0.35">
      <c r="A11" s="3">
        <v>10</v>
      </c>
      <c r="B11" s="3">
        <v>34300010</v>
      </c>
      <c r="C11" s="2" t="s">
        <v>191</v>
      </c>
      <c r="D11" s="2" t="s">
        <v>221</v>
      </c>
      <c r="E11" s="12">
        <v>45830</v>
      </c>
      <c r="F11" s="12">
        <v>45837</v>
      </c>
      <c r="G11" s="12" t="s">
        <v>240</v>
      </c>
      <c r="H11" s="14">
        <v>90</v>
      </c>
      <c r="I11" s="3">
        <v>380</v>
      </c>
      <c r="J11">
        <v>92</v>
      </c>
      <c r="K11" s="14">
        <v>148</v>
      </c>
      <c r="L11" s="13">
        <v>7</v>
      </c>
      <c r="M11" s="15">
        <v>21.79</v>
      </c>
      <c r="N11" s="7">
        <v>1.61</v>
      </c>
    </row>
    <row r="12" spans="1:14" x14ac:dyDescent="0.35">
      <c r="A12" s="3">
        <v>11</v>
      </c>
      <c r="B12" s="3">
        <v>34300011</v>
      </c>
      <c r="C12" s="2" t="s">
        <v>192</v>
      </c>
      <c r="D12" s="2" t="s">
        <v>222</v>
      </c>
      <c r="E12" s="12">
        <v>45828</v>
      </c>
      <c r="F12" s="12">
        <v>45836</v>
      </c>
      <c r="G12" s="12" t="s">
        <v>241</v>
      </c>
      <c r="H12" s="14">
        <v>92</v>
      </c>
      <c r="I12" s="3">
        <v>350</v>
      </c>
      <c r="J12">
        <v>92</v>
      </c>
      <c r="K12" s="14">
        <v>136</v>
      </c>
      <c r="L12" s="13">
        <v>8</v>
      </c>
      <c r="M12" s="15">
        <v>24.18</v>
      </c>
      <c r="N12" s="7">
        <v>1.48</v>
      </c>
    </row>
    <row r="13" spans="1:14" x14ac:dyDescent="0.35">
      <c r="A13" s="3">
        <v>12</v>
      </c>
      <c r="B13" s="3">
        <v>34300012</v>
      </c>
      <c r="C13" s="2" t="s">
        <v>193</v>
      </c>
      <c r="D13" s="2" t="s">
        <v>224</v>
      </c>
      <c r="E13" s="12">
        <v>45842</v>
      </c>
      <c r="F13" s="12">
        <v>45851</v>
      </c>
      <c r="G13" s="12" t="s">
        <v>242</v>
      </c>
      <c r="H13" s="14">
        <v>104</v>
      </c>
      <c r="I13" s="3">
        <v>490</v>
      </c>
      <c r="J13">
        <v>92</v>
      </c>
      <c r="K13" s="14">
        <v>110</v>
      </c>
      <c r="L13" s="13">
        <v>9</v>
      </c>
      <c r="M13" s="15">
        <v>21.4</v>
      </c>
      <c r="N13" s="7">
        <v>1.2</v>
      </c>
    </row>
    <row r="14" spans="1:14" x14ac:dyDescent="0.35">
      <c r="A14" s="3">
        <v>13</v>
      </c>
      <c r="B14" s="3">
        <v>34300013</v>
      </c>
      <c r="C14" s="2" t="s">
        <v>194</v>
      </c>
      <c r="D14" s="2" t="s">
        <v>223</v>
      </c>
      <c r="E14" s="12">
        <v>45841</v>
      </c>
      <c r="F14" s="12">
        <v>45847</v>
      </c>
      <c r="G14" s="12" t="s">
        <v>243</v>
      </c>
      <c r="H14" s="14">
        <v>56</v>
      </c>
      <c r="I14" s="3">
        <v>960</v>
      </c>
      <c r="J14">
        <v>92</v>
      </c>
      <c r="K14" s="14">
        <v>182</v>
      </c>
      <c r="L14" s="13">
        <v>6</v>
      </c>
      <c r="M14" s="15">
        <v>21.08</v>
      </c>
      <c r="N14" s="7">
        <v>1.98</v>
      </c>
    </row>
    <row r="15" spans="1:14" x14ac:dyDescent="0.35">
      <c r="A15" s="3">
        <v>14</v>
      </c>
      <c r="B15" s="3">
        <v>34300014</v>
      </c>
      <c r="C15" s="2" t="s">
        <v>195</v>
      </c>
      <c r="D15" s="2" t="s">
        <v>212</v>
      </c>
      <c r="E15" s="12">
        <v>45835</v>
      </c>
      <c r="F15" s="12">
        <v>45844</v>
      </c>
      <c r="G15" s="12" t="s">
        <v>244</v>
      </c>
      <c r="H15" s="14">
        <v>129</v>
      </c>
      <c r="I15" s="3">
        <v>420</v>
      </c>
      <c r="J15">
        <v>92</v>
      </c>
      <c r="K15" s="14">
        <v>178</v>
      </c>
      <c r="L15" s="13">
        <v>9</v>
      </c>
      <c r="M15" s="15">
        <v>28.26</v>
      </c>
      <c r="N15" s="7">
        <v>1.93</v>
      </c>
    </row>
    <row r="16" spans="1:14" x14ac:dyDescent="0.35">
      <c r="A16" s="3">
        <v>15</v>
      </c>
      <c r="B16" s="3">
        <v>34300015</v>
      </c>
      <c r="C16" s="2" t="s">
        <v>196</v>
      </c>
      <c r="D16" s="2" t="s">
        <v>213</v>
      </c>
      <c r="E16" s="12">
        <v>45784</v>
      </c>
      <c r="F16" s="12">
        <v>45794</v>
      </c>
      <c r="G16" s="12" t="s">
        <v>245</v>
      </c>
      <c r="H16" s="14">
        <v>108</v>
      </c>
      <c r="I16" s="3">
        <v>310</v>
      </c>
      <c r="J16">
        <v>92</v>
      </c>
      <c r="K16" s="14">
        <v>150</v>
      </c>
      <c r="L16" s="13">
        <v>10</v>
      </c>
      <c r="M16" s="15">
        <v>32.049999999999997</v>
      </c>
      <c r="N16" s="7">
        <v>1.63</v>
      </c>
    </row>
    <row r="17" spans="1:14" x14ac:dyDescent="0.35">
      <c r="A17" s="3">
        <v>16</v>
      </c>
      <c r="B17" s="3">
        <v>34300016</v>
      </c>
      <c r="C17" s="2" t="s">
        <v>197</v>
      </c>
      <c r="D17" s="2" t="s">
        <v>214</v>
      </c>
      <c r="E17" s="12">
        <v>45826</v>
      </c>
      <c r="F17" s="12">
        <v>45834</v>
      </c>
      <c r="G17" s="12" t="s">
        <v>246</v>
      </c>
      <c r="H17" s="14">
        <v>63</v>
      </c>
      <c r="I17" s="3">
        <v>660</v>
      </c>
      <c r="J17">
        <v>92</v>
      </c>
      <c r="K17" s="14">
        <v>160</v>
      </c>
      <c r="L17" s="13">
        <v>8</v>
      </c>
      <c r="M17" s="15">
        <v>44.61</v>
      </c>
      <c r="N17" s="7">
        <v>1.74</v>
      </c>
    </row>
    <row r="18" spans="1:14" x14ac:dyDescent="0.35">
      <c r="A18" s="3">
        <v>17</v>
      </c>
      <c r="B18" s="3">
        <v>34300017</v>
      </c>
      <c r="C18" s="2" t="s">
        <v>198</v>
      </c>
      <c r="D18" s="2" t="s">
        <v>215</v>
      </c>
      <c r="E18" s="12">
        <v>45787</v>
      </c>
      <c r="F18" s="12">
        <v>45796</v>
      </c>
      <c r="G18" s="12" t="s">
        <v>247</v>
      </c>
      <c r="H18" s="14">
        <v>108</v>
      </c>
      <c r="I18" s="3">
        <v>280</v>
      </c>
      <c r="J18">
        <v>92</v>
      </c>
      <c r="K18" s="14">
        <v>128</v>
      </c>
      <c r="L18" s="13">
        <v>9</v>
      </c>
      <c r="M18" s="15">
        <v>35.49</v>
      </c>
      <c r="N18" s="7">
        <v>1.39</v>
      </c>
    </row>
    <row r="19" spans="1:14" x14ac:dyDescent="0.35">
      <c r="A19" s="3">
        <v>18</v>
      </c>
      <c r="B19" s="3">
        <v>34300018</v>
      </c>
      <c r="C19" s="2" t="s">
        <v>199</v>
      </c>
      <c r="D19" s="2" t="s">
        <v>216</v>
      </c>
      <c r="E19" s="12">
        <v>45780</v>
      </c>
      <c r="F19" s="12">
        <v>45787</v>
      </c>
      <c r="G19" s="12" t="s">
        <v>248</v>
      </c>
      <c r="H19" s="14">
        <v>96</v>
      </c>
      <c r="I19" s="3">
        <v>330</v>
      </c>
      <c r="J19">
        <v>92</v>
      </c>
      <c r="K19" s="14">
        <v>142</v>
      </c>
      <c r="L19" s="13">
        <v>7</v>
      </c>
      <c r="M19" s="15">
        <v>26.76</v>
      </c>
      <c r="N19" s="7">
        <v>1.54</v>
      </c>
    </row>
    <row r="20" spans="1:14" x14ac:dyDescent="0.35">
      <c r="A20" s="3">
        <v>19</v>
      </c>
      <c r="B20" s="3">
        <v>34300019</v>
      </c>
      <c r="C20" s="2" t="s">
        <v>200</v>
      </c>
      <c r="D20" s="2" t="s">
        <v>217</v>
      </c>
      <c r="E20" s="12">
        <v>45811</v>
      </c>
      <c r="F20" s="12">
        <v>45817</v>
      </c>
      <c r="G20" s="12" t="s">
        <v>249</v>
      </c>
      <c r="H20" s="14">
        <v>104</v>
      </c>
      <c r="I20" s="3">
        <v>270</v>
      </c>
      <c r="J20">
        <v>92</v>
      </c>
      <c r="K20" s="14">
        <v>142</v>
      </c>
      <c r="L20" s="13">
        <v>6</v>
      </c>
      <c r="M20" s="15">
        <v>35.44</v>
      </c>
      <c r="N20" s="7">
        <v>1.54</v>
      </c>
    </row>
    <row r="21" spans="1:14" x14ac:dyDescent="0.35">
      <c r="A21" s="3">
        <v>20</v>
      </c>
      <c r="B21" s="3">
        <v>34300020</v>
      </c>
      <c r="C21" s="2" t="s">
        <v>201</v>
      </c>
      <c r="D21" s="2" t="s">
        <v>218</v>
      </c>
      <c r="E21" s="12">
        <v>45784</v>
      </c>
      <c r="F21" s="12">
        <v>45793</v>
      </c>
      <c r="G21" s="12" t="s">
        <v>250</v>
      </c>
      <c r="H21" s="14">
        <v>95</v>
      </c>
      <c r="I21" s="3">
        <v>510</v>
      </c>
      <c r="J21">
        <v>92</v>
      </c>
      <c r="K21" s="14">
        <v>120</v>
      </c>
      <c r="L21" s="13">
        <v>9</v>
      </c>
      <c r="M21" s="15">
        <v>21.65</v>
      </c>
      <c r="N21" s="7">
        <v>1.3</v>
      </c>
    </row>
    <row r="22" spans="1:14" x14ac:dyDescent="0.35">
      <c r="A22" s="3">
        <v>21</v>
      </c>
      <c r="B22" s="3">
        <v>34300021</v>
      </c>
      <c r="C22" s="2" t="s">
        <v>202</v>
      </c>
      <c r="D22" s="2" t="s">
        <v>219</v>
      </c>
      <c r="E22" s="12">
        <v>45787</v>
      </c>
      <c r="F22" s="12">
        <v>45793</v>
      </c>
      <c r="G22" s="12" t="s">
        <v>251</v>
      </c>
      <c r="H22" s="14">
        <v>107</v>
      </c>
      <c r="I22" s="3">
        <v>350</v>
      </c>
      <c r="J22">
        <v>92</v>
      </c>
      <c r="K22" s="14">
        <v>140</v>
      </c>
      <c r="L22" s="13">
        <v>6</v>
      </c>
      <c r="M22" s="15">
        <v>28.13</v>
      </c>
      <c r="N22" s="7">
        <v>1.52</v>
      </c>
    </row>
    <row r="23" spans="1:14" x14ac:dyDescent="0.35">
      <c r="A23" s="3">
        <v>22</v>
      </c>
      <c r="B23" s="3">
        <v>34300022</v>
      </c>
      <c r="C23" s="2" t="s">
        <v>203</v>
      </c>
      <c r="D23" s="2" t="s">
        <v>220</v>
      </c>
      <c r="E23" s="12">
        <v>45853</v>
      </c>
      <c r="F23" s="12">
        <v>45859</v>
      </c>
      <c r="G23" s="12" t="s">
        <v>252</v>
      </c>
      <c r="H23" s="14">
        <v>103</v>
      </c>
      <c r="I23" s="3">
        <v>490</v>
      </c>
      <c r="J23">
        <v>92</v>
      </c>
      <c r="K23" s="14">
        <v>188</v>
      </c>
      <c r="L23" s="13">
        <v>6</v>
      </c>
      <c r="M23" s="15">
        <v>21.59</v>
      </c>
      <c r="N23" s="7">
        <v>2.04</v>
      </c>
    </row>
    <row r="24" spans="1:14" x14ac:dyDescent="0.35">
      <c r="A24" s="3">
        <v>23</v>
      </c>
      <c r="B24" s="3">
        <v>34300023</v>
      </c>
      <c r="C24" s="2" t="s">
        <v>204</v>
      </c>
      <c r="D24" s="2" t="s">
        <v>221</v>
      </c>
      <c r="E24" s="12">
        <v>45839</v>
      </c>
      <c r="F24" s="12">
        <v>45846</v>
      </c>
      <c r="G24" s="12" t="s">
        <v>253</v>
      </c>
      <c r="H24" s="14">
        <v>111</v>
      </c>
      <c r="I24" s="3">
        <v>310</v>
      </c>
      <c r="J24">
        <v>92</v>
      </c>
      <c r="K24" s="14">
        <v>146</v>
      </c>
      <c r="L24" s="13">
        <v>7</v>
      </c>
      <c r="M24" s="15">
        <v>32.94</v>
      </c>
      <c r="N24" s="7">
        <v>1.59</v>
      </c>
    </row>
    <row r="25" spans="1:14" x14ac:dyDescent="0.35">
      <c r="A25" s="3">
        <v>24</v>
      </c>
      <c r="B25" s="3">
        <v>34300024</v>
      </c>
      <c r="C25" s="2" t="s">
        <v>205</v>
      </c>
      <c r="D25" s="2" t="s">
        <v>222</v>
      </c>
      <c r="E25" s="12">
        <v>45846</v>
      </c>
      <c r="F25" s="12">
        <v>45854</v>
      </c>
      <c r="G25" s="12" t="s">
        <v>254</v>
      </c>
      <c r="H25" s="14">
        <v>91</v>
      </c>
      <c r="I25" s="3">
        <v>290</v>
      </c>
      <c r="J25">
        <v>92</v>
      </c>
      <c r="K25" s="14">
        <v>132</v>
      </c>
      <c r="L25" s="13">
        <v>8</v>
      </c>
      <c r="M25" s="15">
        <v>28.87</v>
      </c>
      <c r="N25" s="7">
        <v>1.43</v>
      </c>
    </row>
    <row r="26" spans="1:14" x14ac:dyDescent="0.35">
      <c r="A26" s="3">
        <v>25</v>
      </c>
      <c r="B26" s="3">
        <v>34300025</v>
      </c>
      <c r="C26" s="2" t="s">
        <v>206</v>
      </c>
      <c r="D26" s="2" t="s">
        <v>224</v>
      </c>
      <c r="E26" s="12">
        <v>45832</v>
      </c>
      <c r="F26" s="12">
        <v>45841</v>
      </c>
      <c r="G26" s="12" t="s">
        <v>255</v>
      </c>
      <c r="H26" s="14">
        <v>95</v>
      </c>
      <c r="I26" s="3">
        <v>400</v>
      </c>
      <c r="J26">
        <v>92</v>
      </c>
      <c r="K26" s="14">
        <v>160</v>
      </c>
      <c r="L26" s="13">
        <v>9</v>
      </c>
      <c r="M26" s="15">
        <v>21.85</v>
      </c>
      <c r="N26" s="7">
        <v>1.74</v>
      </c>
    </row>
    <row r="27" spans="1:14" x14ac:dyDescent="0.35">
      <c r="A27" s="3">
        <v>26</v>
      </c>
      <c r="B27" s="3">
        <v>34300026</v>
      </c>
      <c r="C27" s="2" t="s">
        <v>207</v>
      </c>
      <c r="D27" s="2" t="s">
        <v>223</v>
      </c>
      <c r="E27" s="12">
        <v>45815</v>
      </c>
      <c r="F27" s="12">
        <v>45822</v>
      </c>
      <c r="G27" s="12" t="s">
        <v>256</v>
      </c>
      <c r="H27" s="14">
        <v>105</v>
      </c>
      <c r="I27" s="3">
        <v>360</v>
      </c>
      <c r="J27">
        <v>92</v>
      </c>
      <c r="K27" s="14">
        <v>154</v>
      </c>
      <c r="L27" s="13">
        <v>7</v>
      </c>
      <c r="M27" s="15">
        <v>26.83</v>
      </c>
      <c r="N27" s="7">
        <v>1.67</v>
      </c>
    </row>
    <row r="28" spans="1:14" x14ac:dyDescent="0.35">
      <c r="A28" s="3">
        <v>27</v>
      </c>
      <c r="B28" s="3">
        <v>34300027</v>
      </c>
      <c r="C28" s="2" t="s">
        <v>208</v>
      </c>
      <c r="D28" s="2" t="s">
        <v>212</v>
      </c>
      <c r="E28" s="12">
        <v>45799</v>
      </c>
      <c r="F28" s="12">
        <v>45807</v>
      </c>
      <c r="G28" s="12" t="s">
        <v>257</v>
      </c>
      <c r="H28" s="14">
        <v>108</v>
      </c>
      <c r="I28" s="3">
        <v>520</v>
      </c>
      <c r="J28">
        <v>92</v>
      </c>
      <c r="K28" s="14">
        <v>126</v>
      </c>
      <c r="L28" s="13">
        <v>8</v>
      </c>
      <c r="M28" s="15">
        <v>22.65</v>
      </c>
      <c r="N28" s="7">
        <v>1.37</v>
      </c>
    </row>
    <row r="29" spans="1:14" x14ac:dyDescent="0.35">
      <c r="A29" s="3">
        <v>28</v>
      </c>
      <c r="B29" s="3">
        <v>34300028</v>
      </c>
      <c r="C29" s="2" t="s">
        <v>209</v>
      </c>
      <c r="D29" s="2" t="s">
        <v>213</v>
      </c>
      <c r="E29" s="12">
        <v>45838</v>
      </c>
      <c r="F29" s="12">
        <v>45848</v>
      </c>
      <c r="G29" s="12" t="s">
        <v>258</v>
      </c>
      <c r="H29" s="14">
        <v>87</v>
      </c>
      <c r="I29" s="3">
        <v>310</v>
      </c>
      <c r="J29">
        <v>92</v>
      </c>
      <c r="K29" s="14">
        <v>136</v>
      </c>
      <c r="L29" s="13">
        <v>10</v>
      </c>
      <c r="M29" s="15">
        <v>25.82</v>
      </c>
      <c r="N29" s="7">
        <v>1.48</v>
      </c>
    </row>
    <row r="30" spans="1:14" x14ac:dyDescent="0.35">
      <c r="A30" s="3">
        <v>29</v>
      </c>
      <c r="B30" s="3">
        <v>34300029</v>
      </c>
      <c r="C30" s="2" t="s">
        <v>210</v>
      </c>
      <c r="D30" s="2" t="s">
        <v>214</v>
      </c>
      <c r="E30" s="12">
        <v>45813</v>
      </c>
      <c r="F30" s="12">
        <v>45819</v>
      </c>
      <c r="G30" s="12" t="s">
        <v>259</v>
      </c>
      <c r="H30" s="14">
        <v>59</v>
      </c>
      <c r="I30" s="3">
        <v>450</v>
      </c>
      <c r="J30">
        <v>92</v>
      </c>
      <c r="K30" s="14">
        <v>126</v>
      </c>
      <c r="L30" s="13">
        <v>6</v>
      </c>
      <c r="M30" s="15">
        <v>43.96</v>
      </c>
      <c r="N30" s="7">
        <v>1.37</v>
      </c>
    </row>
    <row r="31" spans="1:14" x14ac:dyDescent="0.35">
      <c r="A31" s="3">
        <v>30</v>
      </c>
      <c r="B31" s="3">
        <v>34300030</v>
      </c>
      <c r="C31" s="2" t="s">
        <v>211</v>
      </c>
      <c r="D31" s="2" t="s">
        <v>215</v>
      </c>
      <c r="E31" s="12">
        <v>45786</v>
      </c>
      <c r="F31" s="12">
        <v>45791</v>
      </c>
      <c r="G31" s="12" t="s">
        <v>260</v>
      </c>
      <c r="H31" s="14">
        <v>100</v>
      </c>
      <c r="I31" s="3">
        <v>280</v>
      </c>
      <c r="J31">
        <v>92</v>
      </c>
      <c r="K31" s="14">
        <v>134</v>
      </c>
      <c r="L31" s="13">
        <v>5</v>
      </c>
      <c r="M31" s="15">
        <v>32.86</v>
      </c>
      <c r="N31" s="7">
        <v>1.46</v>
      </c>
    </row>
    <row r="32" spans="1:14" x14ac:dyDescent="0.35">
      <c r="A32">
        <v>31</v>
      </c>
      <c r="B32" t="s">
        <v>3</v>
      </c>
      <c r="C32" t="s">
        <v>162</v>
      </c>
      <c r="D32" s="2" t="s">
        <v>216</v>
      </c>
      <c r="E32" s="12">
        <v>45820</v>
      </c>
      <c r="F32" s="12">
        <v>45829</v>
      </c>
      <c r="G32" s="12" t="s">
        <v>261</v>
      </c>
      <c r="H32" s="15">
        <v>94</v>
      </c>
      <c r="I32">
        <v>734</v>
      </c>
      <c r="J32">
        <v>92</v>
      </c>
      <c r="K32" s="15">
        <v>136</v>
      </c>
      <c r="L32" s="13">
        <v>9</v>
      </c>
      <c r="M32" s="15">
        <v>23.81</v>
      </c>
      <c r="N32" s="7">
        <v>1.48</v>
      </c>
    </row>
    <row r="33" spans="1:14" x14ac:dyDescent="0.35">
      <c r="A33">
        <v>32</v>
      </c>
      <c r="B33" t="s">
        <v>4</v>
      </c>
      <c r="C33" t="s">
        <v>182</v>
      </c>
      <c r="D33" s="2" t="s">
        <v>217</v>
      </c>
      <c r="E33" s="12">
        <v>45807</v>
      </c>
      <c r="F33" s="12">
        <v>45816</v>
      </c>
      <c r="G33" s="12" t="s">
        <v>262</v>
      </c>
      <c r="H33" s="15">
        <v>712</v>
      </c>
      <c r="I33">
        <v>83</v>
      </c>
      <c r="J33">
        <v>92</v>
      </c>
      <c r="K33" s="15">
        <v>136</v>
      </c>
      <c r="L33" s="13">
        <v>9</v>
      </c>
      <c r="M33" s="18">
        <v>38.799999999999997</v>
      </c>
      <c r="N33" s="7">
        <v>1.48</v>
      </c>
    </row>
    <row r="34" spans="1:14" x14ac:dyDescent="0.35">
      <c r="A34">
        <v>33</v>
      </c>
      <c r="B34" t="s">
        <v>5</v>
      </c>
      <c r="C34" t="s">
        <v>163</v>
      </c>
      <c r="D34" s="2" t="s">
        <v>218</v>
      </c>
      <c r="E34" s="12">
        <v>45832</v>
      </c>
      <c r="F34" s="12">
        <v>45840</v>
      </c>
      <c r="G34" s="12" t="s">
        <v>263</v>
      </c>
      <c r="H34" s="15">
        <v>292</v>
      </c>
      <c r="I34">
        <v>178</v>
      </c>
      <c r="J34">
        <v>92</v>
      </c>
      <c r="K34" s="15">
        <v>116</v>
      </c>
      <c r="L34" s="13">
        <v>8</v>
      </c>
      <c r="M34" s="15">
        <v>41.35</v>
      </c>
      <c r="N34" s="7">
        <v>1.26</v>
      </c>
    </row>
    <row r="35" spans="1:14" x14ac:dyDescent="0.35">
      <c r="A35">
        <v>34</v>
      </c>
      <c r="B35" t="s">
        <v>6</v>
      </c>
      <c r="C35" t="s">
        <v>164</v>
      </c>
      <c r="D35" s="2" t="s">
        <v>219</v>
      </c>
      <c r="E35" s="12">
        <v>45822</v>
      </c>
      <c r="F35" s="12">
        <v>45831</v>
      </c>
      <c r="G35" s="12" t="s">
        <v>264</v>
      </c>
      <c r="H35" s="15">
        <v>211</v>
      </c>
      <c r="I35">
        <v>247</v>
      </c>
      <c r="J35">
        <v>92</v>
      </c>
      <c r="K35" s="15">
        <v>114</v>
      </c>
      <c r="L35" s="13">
        <v>9</v>
      </c>
      <c r="M35" s="15">
        <v>37.25</v>
      </c>
      <c r="N35" s="7">
        <v>1.24</v>
      </c>
    </row>
    <row r="36" spans="1:14" x14ac:dyDescent="0.35">
      <c r="A36">
        <v>35</v>
      </c>
      <c r="B36" t="s">
        <v>7</v>
      </c>
      <c r="C36" t="s">
        <v>165</v>
      </c>
      <c r="D36" s="2" t="s">
        <v>220</v>
      </c>
      <c r="E36" s="12">
        <v>45830</v>
      </c>
      <c r="F36" s="12">
        <v>45836</v>
      </c>
      <c r="G36" s="12" t="s">
        <v>265</v>
      </c>
      <c r="H36" s="15">
        <v>76</v>
      </c>
      <c r="I36">
        <v>153</v>
      </c>
      <c r="J36">
        <v>92</v>
      </c>
      <c r="K36" s="15">
        <v>140</v>
      </c>
      <c r="L36" s="13">
        <v>6</v>
      </c>
      <c r="M36" s="15">
        <v>43.29</v>
      </c>
      <c r="N36" s="7">
        <v>1.52</v>
      </c>
    </row>
    <row r="37" spans="1:14" x14ac:dyDescent="0.35">
      <c r="A37">
        <v>36</v>
      </c>
      <c r="B37" t="s">
        <v>8</v>
      </c>
      <c r="C37" t="s">
        <v>166</v>
      </c>
      <c r="D37" s="2" t="s">
        <v>221</v>
      </c>
      <c r="E37" s="12">
        <v>45818</v>
      </c>
      <c r="F37" s="12">
        <v>45826</v>
      </c>
      <c r="G37" s="12" t="s">
        <v>266</v>
      </c>
      <c r="H37" s="15">
        <v>429</v>
      </c>
      <c r="I37">
        <v>136</v>
      </c>
      <c r="J37">
        <v>92</v>
      </c>
      <c r="K37" s="15">
        <v>134</v>
      </c>
      <c r="L37" s="13">
        <v>8</v>
      </c>
      <c r="M37" s="15">
        <v>40.590000000000003</v>
      </c>
      <c r="N37" s="7">
        <v>1.46</v>
      </c>
    </row>
    <row r="38" spans="1:14" x14ac:dyDescent="0.35">
      <c r="A38">
        <v>37</v>
      </c>
      <c r="B38" t="s">
        <v>9</v>
      </c>
      <c r="C38" t="s">
        <v>167</v>
      </c>
      <c r="D38" s="2" t="s">
        <v>222</v>
      </c>
      <c r="E38" s="12">
        <v>45818</v>
      </c>
      <c r="F38" s="12">
        <v>45825</v>
      </c>
      <c r="G38" s="12" t="s">
        <v>267</v>
      </c>
      <c r="H38" s="15">
        <v>55</v>
      </c>
      <c r="I38">
        <v>107</v>
      </c>
      <c r="J38">
        <v>92</v>
      </c>
      <c r="K38" s="15">
        <v>174</v>
      </c>
      <c r="L38" s="13">
        <v>7</v>
      </c>
      <c r="M38" s="15">
        <v>44.71</v>
      </c>
      <c r="N38" s="7">
        <v>1.89</v>
      </c>
    </row>
    <row r="39" spans="1:14" x14ac:dyDescent="0.35">
      <c r="A39">
        <v>38</v>
      </c>
      <c r="B39" t="s">
        <v>10</v>
      </c>
      <c r="C39" t="s">
        <v>168</v>
      </c>
      <c r="D39" s="2" t="s">
        <v>224</v>
      </c>
      <c r="E39" s="12">
        <v>45795</v>
      </c>
      <c r="F39" s="12">
        <v>45805</v>
      </c>
      <c r="G39" s="12" t="s">
        <v>268</v>
      </c>
      <c r="H39" s="15">
        <v>57</v>
      </c>
      <c r="I39">
        <v>147</v>
      </c>
      <c r="J39">
        <v>92</v>
      </c>
      <c r="K39" s="15">
        <v>114</v>
      </c>
      <c r="L39" s="13">
        <v>10</v>
      </c>
      <c r="M39" s="15">
        <v>35.67</v>
      </c>
      <c r="N39" s="7">
        <v>1.24</v>
      </c>
    </row>
    <row r="40" spans="1:14" x14ac:dyDescent="0.35">
      <c r="A40">
        <v>39</v>
      </c>
      <c r="B40" t="s">
        <v>11</v>
      </c>
      <c r="C40" t="s">
        <v>164</v>
      </c>
      <c r="D40" s="2" t="s">
        <v>223</v>
      </c>
      <c r="E40" s="12">
        <v>45833</v>
      </c>
      <c r="F40" s="12">
        <v>45842</v>
      </c>
      <c r="G40" s="12" t="s">
        <v>269</v>
      </c>
      <c r="H40" s="15">
        <v>73</v>
      </c>
      <c r="I40">
        <v>920</v>
      </c>
      <c r="J40">
        <v>92</v>
      </c>
      <c r="K40" s="15">
        <v>116</v>
      </c>
      <c r="L40" s="13">
        <v>9</v>
      </c>
      <c r="M40" s="15">
        <v>20.3</v>
      </c>
      <c r="N40" s="7">
        <v>1.26</v>
      </c>
    </row>
    <row r="41" spans="1:14" x14ac:dyDescent="0.35">
      <c r="A41">
        <v>40</v>
      </c>
      <c r="B41" t="s">
        <v>12</v>
      </c>
      <c r="C41" t="s">
        <v>169</v>
      </c>
      <c r="D41" s="2" t="s">
        <v>212</v>
      </c>
      <c r="E41" s="12">
        <v>45780</v>
      </c>
      <c r="F41" s="12">
        <v>45786</v>
      </c>
      <c r="G41" s="12" t="s">
        <v>270</v>
      </c>
      <c r="H41" s="15">
        <v>120</v>
      </c>
      <c r="I41">
        <v>260</v>
      </c>
      <c r="J41">
        <v>92</v>
      </c>
      <c r="K41" s="15">
        <v>178</v>
      </c>
      <c r="L41" s="13">
        <v>6</v>
      </c>
      <c r="M41" s="15">
        <v>42.46</v>
      </c>
      <c r="N41" s="7">
        <v>1.93</v>
      </c>
    </row>
    <row r="42" spans="1:14" x14ac:dyDescent="0.35">
      <c r="A42">
        <v>41</v>
      </c>
      <c r="B42" t="s">
        <v>13</v>
      </c>
      <c r="C42" t="s">
        <v>167</v>
      </c>
      <c r="D42" s="2" t="s">
        <v>213</v>
      </c>
      <c r="E42" s="12">
        <v>45828</v>
      </c>
      <c r="F42" s="12">
        <v>45836</v>
      </c>
      <c r="G42" s="12" t="s">
        <v>271</v>
      </c>
      <c r="H42" s="15">
        <v>147</v>
      </c>
      <c r="I42">
        <v>238</v>
      </c>
      <c r="J42">
        <v>92</v>
      </c>
      <c r="K42" s="15">
        <v>167</v>
      </c>
      <c r="L42" s="13">
        <v>8</v>
      </c>
      <c r="M42" s="15">
        <v>42.52</v>
      </c>
      <c r="N42" s="7">
        <v>1.82</v>
      </c>
    </row>
    <row r="43" spans="1:14" x14ac:dyDescent="0.35">
      <c r="A43">
        <v>42</v>
      </c>
      <c r="B43" t="s">
        <v>14</v>
      </c>
      <c r="C43" t="s">
        <v>167</v>
      </c>
      <c r="D43" s="2" t="s">
        <v>214</v>
      </c>
      <c r="E43" s="12">
        <v>45787</v>
      </c>
      <c r="F43" s="12">
        <v>45797</v>
      </c>
      <c r="G43" s="12" t="s">
        <v>272</v>
      </c>
      <c r="H43" s="15">
        <v>152</v>
      </c>
      <c r="I43">
        <v>368</v>
      </c>
      <c r="J43">
        <v>92</v>
      </c>
      <c r="K43" s="15">
        <v>180</v>
      </c>
      <c r="L43" s="13">
        <v>10</v>
      </c>
      <c r="M43" s="18">
        <v>38</v>
      </c>
      <c r="N43" s="7">
        <v>1.96</v>
      </c>
    </row>
    <row r="44" spans="1:14" x14ac:dyDescent="0.35">
      <c r="A44">
        <v>43</v>
      </c>
      <c r="B44" t="s">
        <v>15</v>
      </c>
      <c r="C44" t="s">
        <v>170</v>
      </c>
      <c r="D44" s="2" t="s">
        <v>215</v>
      </c>
      <c r="E44" s="12">
        <v>45806</v>
      </c>
      <c r="F44" s="12">
        <v>45816</v>
      </c>
      <c r="G44" s="12" t="s">
        <v>273</v>
      </c>
      <c r="H44" s="15">
        <v>75</v>
      </c>
      <c r="I44">
        <v>484</v>
      </c>
      <c r="J44">
        <v>92</v>
      </c>
      <c r="K44" s="15">
        <v>122</v>
      </c>
      <c r="L44" s="13">
        <v>10</v>
      </c>
      <c r="M44" s="15">
        <v>21.29</v>
      </c>
      <c r="N44" s="7">
        <v>1.33</v>
      </c>
    </row>
    <row r="45" spans="1:14" x14ac:dyDescent="0.35">
      <c r="A45">
        <v>44</v>
      </c>
      <c r="B45" t="s">
        <v>16</v>
      </c>
      <c r="C45" t="s">
        <v>170</v>
      </c>
      <c r="D45" s="2" t="s">
        <v>216</v>
      </c>
      <c r="E45" s="12">
        <v>45808</v>
      </c>
      <c r="F45" s="12">
        <v>45818</v>
      </c>
      <c r="G45" s="12" t="s">
        <v>274</v>
      </c>
      <c r="H45" s="15">
        <v>95</v>
      </c>
      <c r="I45">
        <v>158</v>
      </c>
      <c r="J45">
        <v>92</v>
      </c>
      <c r="K45" s="15">
        <v>140</v>
      </c>
      <c r="L45" s="13">
        <v>10</v>
      </c>
      <c r="M45" s="15">
        <v>29.11</v>
      </c>
      <c r="N45" s="7">
        <v>1.52</v>
      </c>
    </row>
    <row r="46" spans="1:14" x14ac:dyDescent="0.35">
      <c r="A46">
        <v>45</v>
      </c>
      <c r="B46" t="s">
        <v>17</v>
      </c>
      <c r="C46" t="s">
        <v>166</v>
      </c>
      <c r="D46" s="2" t="s">
        <v>217</v>
      </c>
      <c r="E46" s="12">
        <v>45796</v>
      </c>
      <c r="F46" s="12">
        <v>45804</v>
      </c>
      <c r="G46" s="12" t="s">
        <v>275</v>
      </c>
      <c r="H46" s="15">
        <v>243</v>
      </c>
      <c r="I46">
        <v>227</v>
      </c>
      <c r="J46">
        <v>92</v>
      </c>
      <c r="K46" s="15">
        <v>160</v>
      </c>
      <c r="L46" s="13">
        <v>8</v>
      </c>
      <c r="M46" s="15">
        <v>41.74</v>
      </c>
      <c r="N46" s="7">
        <v>1.74</v>
      </c>
    </row>
    <row r="47" spans="1:14" x14ac:dyDescent="0.35">
      <c r="A47">
        <v>46</v>
      </c>
      <c r="B47" t="s">
        <v>18</v>
      </c>
      <c r="C47" t="s">
        <v>171</v>
      </c>
      <c r="D47" s="2" t="s">
        <v>218</v>
      </c>
      <c r="E47" s="12">
        <v>45792</v>
      </c>
      <c r="F47" s="12">
        <v>45800</v>
      </c>
      <c r="G47" s="12" t="s">
        <v>276</v>
      </c>
      <c r="H47" s="15">
        <v>92</v>
      </c>
      <c r="I47">
        <v>371</v>
      </c>
      <c r="J47">
        <v>92</v>
      </c>
      <c r="K47" s="15">
        <v>186</v>
      </c>
      <c r="L47" s="13">
        <v>8</v>
      </c>
      <c r="M47" s="15">
        <v>22.81</v>
      </c>
      <c r="N47" s="7">
        <v>2.02</v>
      </c>
    </row>
    <row r="48" spans="1:14" x14ac:dyDescent="0.35">
      <c r="A48">
        <v>47</v>
      </c>
      <c r="B48" t="s">
        <v>19</v>
      </c>
      <c r="C48" t="s">
        <v>172</v>
      </c>
      <c r="D48" s="2" t="s">
        <v>219</v>
      </c>
      <c r="E48" s="12">
        <v>45786</v>
      </c>
      <c r="F48" s="12">
        <v>45795</v>
      </c>
      <c r="G48" s="12" t="s">
        <v>277</v>
      </c>
      <c r="H48" s="15">
        <v>66</v>
      </c>
      <c r="I48">
        <v>235</v>
      </c>
      <c r="J48">
        <v>92</v>
      </c>
      <c r="K48" s="15">
        <v>118</v>
      </c>
      <c r="L48" s="13">
        <v>9</v>
      </c>
      <c r="M48" s="15">
        <v>25.84</v>
      </c>
      <c r="N48" s="7">
        <v>1.28</v>
      </c>
    </row>
    <row r="49" spans="1:14" x14ac:dyDescent="0.35">
      <c r="A49">
        <v>48</v>
      </c>
      <c r="B49" t="s">
        <v>20</v>
      </c>
      <c r="C49" t="s">
        <v>171</v>
      </c>
      <c r="D49" s="2" t="s">
        <v>220</v>
      </c>
      <c r="E49" s="12">
        <v>45824</v>
      </c>
      <c r="F49" s="12">
        <v>45830</v>
      </c>
      <c r="G49" s="12" t="s">
        <v>278</v>
      </c>
      <c r="H49" s="15">
        <v>99</v>
      </c>
      <c r="I49">
        <v>421</v>
      </c>
      <c r="J49">
        <v>92</v>
      </c>
      <c r="K49" s="15">
        <v>172</v>
      </c>
      <c r="L49" s="13">
        <v>6</v>
      </c>
      <c r="M49" s="15">
        <v>21.63</v>
      </c>
      <c r="N49" s="7">
        <v>1.87</v>
      </c>
    </row>
    <row r="50" spans="1:14" x14ac:dyDescent="0.35">
      <c r="A50">
        <v>49</v>
      </c>
      <c r="B50" t="s">
        <v>21</v>
      </c>
      <c r="C50" t="s">
        <v>170</v>
      </c>
      <c r="D50" s="2" t="s">
        <v>221</v>
      </c>
      <c r="E50" s="12">
        <v>45816</v>
      </c>
      <c r="F50" s="12">
        <v>45826</v>
      </c>
      <c r="G50" s="12" t="s">
        <v>279</v>
      </c>
      <c r="H50" s="15">
        <v>80</v>
      </c>
      <c r="I50">
        <v>830</v>
      </c>
      <c r="J50">
        <v>92</v>
      </c>
      <c r="K50" s="15">
        <v>140</v>
      </c>
      <c r="L50" s="13">
        <v>10</v>
      </c>
      <c r="M50" s="15">
        <v>21.06</v>
      </c>
      <c r="N50" s="7">
        <v>1.52</v>
      </c>
    </row>
    <row r="51" spans="1:14" x14ac:dyDescent="0.35">
      <c r="A51">
        <v>50</v>
      </c>
      <c r="B51" t="s">
        <v>22</v>
      </c>
      <c r="C51" t="s">
        <v>173</v>
      </c>
      <c r="D51" s="2" t="s">
        <v>222</v>
      </c>
      <c r="E51" s="12">
        <v>45800</v>
      </c>
      <c r="F51" s="12">
        <v>45806</v>
      </c>
      <c r="G51" s="12" t="s">
        <v>280</v>
      </c>
      <c r="H51" s="15">
        <v>75</v>
      </c>
      <c r="I51">
        <v>360</v>
      </c>
      <c r="J51">
        <v>92</v>
      </c>
      <c r="K51" s="15">
        <v>118</v>
      </c>
      <c r="L51" s="13">
        <v>6</v>
      </c>
      <c r="M51" s="18">
        <v>23</v>
      </c>
      <c r="N51" s="7">
        <v>1.28</v>
      </c>
    </row>
    <row r="52" spans="1:14" x14ac:dyDescent="0.35">
      <c r="A52">
        <v>51</v>
      </c>
      <c r="B52" t="s">
        <v>23</v>
      </c>
      <c r="C52" t="s">
        <v>169</v>
      </c>
      <c r="D52" s="2" t="s">
        <v>224</v>
      </c>
      <c r="E52" s="12">
        <v>45847</v>
      </c>
      <c r="F52" s="12">
        <v>45856</v>
      </c>
      <c r="G52" s="12" t="s">
        <v>281</v>
      </c>
      <c r="H52" s="15">
        <v>503</v>
      </c>
      <c r="I52">
        <v>96</v>
      </c>
      <c r="J52">
        <v>92</v>
      </c>
      <c r="K52" s="15">
        <v>164</v>
      </c>
      <c r="L52" s="13">
        <v>9</v>
      </c>
      <c r="M52" s="15">
        <v>31.63</v>
      </c>
      <c r="N52" s="7">
        <v>1.78</v>
      </c>
    </row>
    <row r="53" spans="1:14" x14ac:dyDescent="0.35">
      <c r="A53">
        <v>52</v>
      </c>
      <c r="B53" t="s">
        <v>24</v>
      </c>
      <c r="C53" t="s">
        <v>165</v>
      </c>
      <c r="D53" s="2" t="s">
        <v>223</v>
      </c>
      <c r="E53" s="12">
        <v>45821</v>
      </c>
      <c r="F53" s="12">
        <v>45831</v>
      </c>
      <c r="G53" s="12" t="s">
        <v>282</v>
      </c>
      <c r="H53" s="15">
        <v>308</v>
      </c>
      <c r="I53">
        <v>264</v>
      </c>
      <c r="J53">
        <v>92</v>
      </c>
      <c r="K53" s="15">
        <v>156</v>
      </c>
      <c r="L53" s="13">
        <v>10</v>
      </c>
      <c r="M53" s="15">
        <v>41.82</v>
      </c>
      <c r="N53" s="7">
        <v>1.7</v>
      </c>
    </row>
    <row r="54" spans="1:14" x14ac:dyDescent="0.35">
      <c r="A54">
        <v>53</v>
      </c>
      <c r="B54" t="s">
        <v>25</v>
      </c>
      <c r="C54" t="s">
        <v>169</v>
      </c>
      <c r="D54" s="2" t="s">
        <v>212</v>
      </c>
      <c r="E54" s="12">
        <v>45828</v>
      </c>
      <c r="F54" s="12">
        <v>45838</v>
      </c>
      <c r="G54" s="12" t="s">
        <v>283</v>
      </c>
      <c r="H54" s="15">
        <v>10</v>
      </c>
      <c r="I54">
        <v>220</v>
      </c>
      <c r="J54">
        <v>92</v>
      </c>
      <c r="K54" s="15">
        <v>112</v>
      </c>
      <c r="L54" s="13">
        <v>10</v>
      </c>
      <c r="M54" s="15">
        <v>37.64</v>
      </c>
      <c r="N54" s="7">
        <v>1.22</v>
      </c>
    </row>
    <row r="55" spans="1:14" x14ac:dyDescent="0.35">
      <c r="A55">
        <v>54</v>
      </c>
      <c r="B55" t="s">
        <v>26</v>
      </c>
      <c r="C55" t="s">
        <v>174</v>
      </c>
      <c r="D55" s="2" t="s">
        <v>213</v>
      </c>
      <c r="E55" s="12">
        <v>45789</v>
      </c>
      <c r="F55" s="12">
        <v>45796</v>
      </c>
      <c r="G55" s="12" t="s">
        <v>284</v>
      </c>
      <c r="H55" s="15">
        <v>170</v>
      </c>
      <c r="I55">
        <v>87</v>
      </c>
      <c r="J55">
        <v>92</v>
      </c>
      <c r="K55" s="15">
        <v>134</v>
      </c>
      <c r="L55" s="13">
        <v>7</v>
      </c>
      <c r="M55" s="15">
        <v>31.72</v>
      </c>
      <c r="N55" s="7">
        <v>1.46</v>
      </c>
    </row>
    <row r="56" spans="1:14" x14ac:dyDescent="0.35">
      <c r="A56">
        <v>55</v>
      </c>
      <c r="B56" t="s">
        <v>27</v>
      </c>
      <c r="C56" t="s">
        <v>175</v>
      </c>
      <c r="D56" s="2" t="s">
        <v>214</v>
      </c>
      <c r="E56" s="12">
        <v>45795</v>
      </c>
      <c r="F56" s="12">
        <v>45800</v>
      </c>
      <c r="G56" s="12" t="s">
        <v>285</v>
      </c>
      <c r="H56" s="15">
        <v>155</v>
      </c>
      <c r="I56">
        <v>280</v>
      </c>
      <c r="J56">
        <v>92</v>
      </c>
      <c r="K56" s="15">
        <v>150</v>
      </c>
      <c r="L56" s="13">
        <v>5</v>
      </c>
      <c r="M56" s="15">
        <v>24.64</v>
      </c>
      <c r="N56" s="7">
        <v>1.63</v>
      </c>
    </row>
    <row r="57" spans="1:14" x14ac:dyDescent="0.35">
      <c r="A57">
        <v>56</v>
      </c>
      <c r="B57" t="s">
        <v>28</v>
      </c>
      <c r="C57" t="s">
        <v>165</v>
      </c>
      <c r="D57" s="2" t="s">
        <v>215</v>
      </c>
      <c r="E57" s="12">
        <v>45805</v>
      </c>
      <c r="F57" s="12">
        <v>45815</v>
      </c>
      <c r="G57" s="12" t="s">
        <v>286</v>
      </c>
      <c r="H57" s="15">
        <v>84</v>
      </c>
      <c r="I57">
        <v>548</v>
      </c>
      <c r="J57">
        <v>92</v>
      </c>
      <c r="K57" s="15">
        <v>170</v>
      </c>
      <c r="L57" s="13">
        <v>10</v>
      </c>
      <c r="M57" s="15">
        <v>25.85</v>
      </c>
      <c r="N57" s="7">
        <v>1.85</v>
      </c>
    </row>
    <row r="58" spans="1:14" x14ac:dyDescent="0.35">
      <c r="A58">
        <v>57</v>
      </c>
      <c r="B58" t="s">
        <v>29</v>
      </c>
      <c r="C58" t="s">
        <v>173</v>
      </c>
      <c r="D58" s="2" t="s">
        <v>216</v>
      </c>
      <c r="E58" s="12">
        <v>45821</v>
      </c>
      <c r="F58" s="12">
        <v>45831</v>
      </c>
      <c r="G58" s="12" t="s">
        <v>287</v>
      </c>
      <c r="H58" s="15">
        <v>75</v>
      </c>
      <c r="I58">
        <v>80</v>
      </c>
      <c r="J58">
        <v>92</v>
      </c>
      <c r="K58" s="15">
        <v>176</v>
      </c>
      <c r="L58" s="13">
        <v>10</v>
      </c>
      <c r="M58" s="18">
        <v>39.1</v>
      </c>
      <c r="N58" s="7">
        <v>1.91</v>
      </c>
    </row>
    <row r="59" spans="1:14" x14ac:dyDescent="0.35">
      <c r="A59">
        <v>58</v>
      </c>
      <c r="B59" t="s">
        <v>30</v>
      </c>
      <c r="C59" t="s">
        <v>176</v>
      </c>
      <c r="D59" s="2" t="s">
        <v>217</v>
      </c>
      <c r="E59" s="12">
        <v>45802</v>
      </c>
      <c r="F59" s="12">
        <v>45809</v>
      </c>
      <c r="G59" s="12" t="s">
        <v>288</v>
      </c>
      <c r="H59" s="15">
        <v>94</v>
      </c>
      <c r="I59">
        <v>454</v>
      </c>
      <c r="J59">
        <v>92</v>
      </c>
      <c r="K59" s="15">
        <v>180</v>
      </c>
      <c r="L59" s="13">
        <v>7</v>
      </c>
      <c r="M59" s="15">
        <v>21.07</v>
      </c>
      <c r="N59" s="7">
        <v>1.96</v>
      </c>
    </row>
    <row r="60" spans="1:14" x14ac:dyDescent="0.35">
      <c r="A60">
        <v>59</v>
      </c>
      <c r="B60" t="s">
        <v>31</v>
      </c>
      <c r="C60" t="s">
        <v>164</v>
      </c>
      <c r="D60" s="2" t="s">
        <v>218</v>
      </c>
      <c r="E60" s="12">
        <v>45807</v>
      </c>
      <c r="F60" s="12">
        <v>45817</v>
      </c>
      <c r="G60" s="12" t="s">
        <v>289</v>
      </c>
      <c r="H60" s="15">
        <v>629</v>
      </c>
      <c r="I60">
        <v>74</v>
      </c>
      <c r="J60">
        <v>92</v>
      </c>
      <c r="K60" s="15">
        <v>106</v>
      </c>
      <c r="L60" s="13">
        <v>10</v>
      </c>
      <c r="M60" s="15">
        <v>36.049999999999997</v>
      </c>
      <c r="N60" s="7">
        <v>1.1499999999999999</v>
      </c>
    </row>
    <row r="61" spans="1:14" x14ac:dyDescent="0.35">
      <c r="A61">
        <v>60</v>
      </c>
      <c r="B61" t="s">
        <v>32</v>
      </c>
      <c r="C61" t="s">
        <v>164</v>
      </c>
      <c r="D61" s="2" t="s">
        <v>219</v>
      </c>
      <c r="E61" s="12">
        <v>45779</v>
      </c>
      <c r="F61" s="12">
        <v>45784</v>
      </c>
      <c r="G61" s="12" t="s">
        <v>290</v>
      </c>
      <c r="H61" s="15">
        <v>78</v>
      </c>
      <c r="I61">
        <v>451</v>
      </c>
      <c r="J61">
        <v>92</v>
      </c>
      <c r="K61" s="15">
        <v>158</v>
      </c>
      <c r="L61" s="13">
        <v>5</v>
      </c>
      <c r="M61" s="15">
        <v>22.03</v>
      </c>
      <c r="N61" s="7">
        <v>1.72</v>
      </c>
    </row>
    <row r="62" spans="1:14" x14ac:dyDescent="0.35">
      <c r="A62">
        <v>61</v>
      </c>
      <c r="B62" t="s">
        <v>33</v>
      </c>
      <c r="C62" t="s">
        <v>173</v>
      </c>
      <c r="D62" s="2" t="s">
        <v>220</v>
      </c>
      <c r="E62" s="12">
        <v>45826</v>
      </c>
      <c r="F62" s="12">
        <v>45833</v>
      </c>
      <c r="G62" s="12" t="s">
        <v>291</v>
      </c>
      <c r="H62" s="15">
        <v>152</v>
      </c>
      <c r="I62">
        <v>368</v>
      </c>
      <c r="J62">
        <v>92</v>
      </c>
      <c r="K62" s="15">
        <v>168</v>
      </c>
      <c r="L62" s="13">
        <v>7</v>
      </c>
      <c r="M62" s="18">
        <v>38</v>
      </c>
      <c r="N62" s="7">
        <v>1.83</v>
      </c>
    </row>
    <row r="63" spans="1:14" x14ac:dyDescent="0.35">
      <c r="A63">
        <v>62</v>
      </c>
      <c r="B63" t="s">
        <v>34</v>
      </c>
      <c r="C63" t="s">
        <v>166</v>
      </c>
      <c r="D63" s="2" t="s">
        <v>221</v>
      </c>
      <c r="E63" s="12">
        <v>45788</v>
      </c>
      <c r="F63" s="12">
        <v>45793</v>
      </c>
      <c r="G63" s="12" t="s">
        <v>292</v>
      </c>
      <c r="H63" s="15">
        <v>96</v>
      </c>
      <c r="I63">
        <v>59</v>
      </c>
      <c r="J63">
        <v>92</v>
      </c>
      <c r="K63" s="15">
        <v>184</v>
      </c>
      <c r="L63" s="13">
        <v>5</v>
      </c>
      <c r="M63" s="15">
        <v>40.54</v>
      </c>
      <c r="N63" s="7">
        <v>2</v>
      </c>
    </row>
    <row r="64" spans="1:14" x14ac:dyDescent="0.35">
      <c r="A64">
        <v>63</v>
      </c>
      <c r="B64" t="s">
        <v>35</v>
      </c>
      <c r="C64" t="s">
        <v>177</v>
      </c>
      <c r="D64" s="2" t="s">
        <v>222</v>
      </c>
      <c r="E64" s="12">
        <v>45848</v>
      </c>
      <c r="F64" s="12">
        <v>45855</v>
      </c>
      <c r="G64" s="12" t="s">
        <v>293</v>
      </c>
      <c r="H64" s="15">
        <v>144</v>
      </c>
      <c r="I64">
        <v>346</v>
      </c>
      <c r="J64">
        <v>92</v>
      </c>
      <c r="K64" s="15">
        <v>134</v>
      </c>
      <c r="L64" s="13">
        <v>7</v>
      </c>
      <c r="M64" s="15">
        <v>38.29</v>
      </c>
      <c r="N64" s="7">
        <v>1.46</v>
      </c>
    </row>
    <row r="65" spans="1:14" x14ac:dyDescent="0.35">
      <c r="A65">
        <v>64</v>
      </c>
      <c r="B65" t="s">
        <v>36</v>
      </c>
      <c r="C65" t="s">
        <v>167</v>
      </c>
      <c r="D65" s="2" t="s">
        <v>224</v>
      </c>
      <c r="E65" s="12">
        <v>45807</v>
      </c>
      <c r="F65" s="12">
        <v>45815</v>
      </c>
      <c r="G65" s="12" t="s">
        <v>294</v>
      </c>
      <c r="H65" s="15">
        <v>88</v>
      </c>
      <c r="I65">
        <v>248</v>
      </c>
      <c r="J65">
        <v>92</v>
      </c>
      <c r="K65" s="15">
        <v>108</v>
      </c>
      <c r="L65" s="13">
        <v>8</v>
      </c>
      <c r="M65" s="15">
        <v>32.65</v>
      </c>
      <c r="N65" s="7">
        <v>1.17</v>
      </c>
    </row>
    <row r="66" spans="1:14" x14ac:dyDescent="0.35">
      <c r="A66">
        <v>65</v>
      </c>
      <c r="B66" t="s">
        <v>37</v>
      </c>
      <c r="C66" t="s">
        <v>165</v>
      </c>
      <c r="D66" s="2" t="s">
        <v>223</v>
      </c>
      <c r="E66" s="12">
        <v>45803</v>
      </c>
      <c r="F66" s="12">
        <v>45810</v>
      </c>
      <c r="G66" s="12" t="s">
        <v>295</v>
      </c>
      <c r="H66" s="15">
        <v>89</v>
      </c>
      <c r="I66">
        <v>50</v>
      </c>
      <c r="J66">
        <v>92</v>
      </c>
      <c r="K66" s="15">
        <v>170</v>
      </c>
      <c r="L66" s="13">
        <v>7</v>
      </c>
      <c r="M66" s="15">
        <v>34.96</v>
      </c>
      <c r="N66" s="7">
        <v>1.85</v>
      </c>
    </row>
    <row r="67" spans="1:14" x14ac:dyDescent="0.35">
      <c r="A67">
        <v>66</v>
      </c>
      <c r="B67" t="s">
        <v>38</v>
      </c>
      <c r="C67" t="s">
        <v>162</v>
      </c>
      <c r="D67" s="2" t="s">
        <v>212</v>
      </c>
      <c r="E67" s="12">
        <v>45805</v>
      </c>
      <c r="F67" s="12">
        <v>45813</v>
      </c>
      <c r="G67" s="12" t="s">
        <v>296</v>
      </c>
      <c r="H67" s="15">
        <v>71</v>
      </c>
      <c r="I67">
        <v>409</v>
      </c>
      <c r="J67">
        <v>92</v>
      </c>
      <c r="K67" s="15">
        <v>110</v>
      </c>
      <c r="L67" s="13">
        <v>8</v>
      </c>
      <c r="M67" s="15">
        <v>30.37</v>
      </c>
      <c r="N67" s="7">
        <v>1.2</v>
      </c>
    </row>
    <row r="68" spans="1:14" x14ac:dyDescent="0.35">
      <c r="A68">
        <v>67</v>
      </c>
      <c r="B68" t="s">
        <v>39</v>
      </c>
      <c r="C68" t="s">
        <v>178</v>
      </c>
      <c r="D68" s="2" t="s">
        <v>213</v>
      </c>
      <c r="E68" s="12">
        <v>45817</v>
      </c>
      <c r="F68" s="12">
        <v>45825</v>
      </c>
      <c r="G68" s="12" t="s">
        <v>297</v>
      </c>
      <c r="H68" s="15">
        <v>80</v>
      </c>
      <c r="I68">
        <v>366</v>
      </c>
      <c r="J68">
        <v>92</v>
      </c>
      <c r="K68" s="15">
        <v>98</v>
      </c>
      <c r="L68" s="13">
        <v>8</v>
      </c>
      <c r="M68" s="15">
        <v>20.11</v>
      </c>
      <c r="N68" s="7">
        <v>1.07</v>
      </c>
    </row>
    <row r="69" spans="1:14" x14ac:dyDescent="0.35">
      <c r="A69">
        <v>68</v>
      </c>
      <c r="B69" t="s">
        <v>40</v>
      </c>
      <c r="C69" t="s">
        <v>173</v>
      </c>
      <c r="D69" s="2" t="s">
        <v>214</v>
      </c>
      <c r="E69" s="12">
        <v>45825</v>
      </c>
      <c r="F69" s="12">
        <v>45835</v>
      </c>
      <c r="G69" s="12" t="s">
        <v>298</v>
      </c>
      <c r="H69" s="15">
        <v>74</v>
      </c>
      <c r="I69">
        <v>791</v>
      </c>
      <c r="J69">
        <v>92</v>
      </c>
      <c r="K69" s="15">
        <v>152</v>
      </c>
      <c r="L69" s="13">
        <v>10</v>
      </c>
      <c r="M69" s="15">
        <v>20.239999999999998</v>
      </c>
      <c r="N69" s="7">
        <v>1.65</v>
      </c>
    </row>
    <row r="70" spans="1:14" x14ac:dyDescent="0.35">
      <c r="A70">
        <v>69</v>
      </c>
      <c r="B70" t="s">
        <v>41</v>
      </c>
      <c r="C70" t="s">
        <v>176</v>
      </c>
      <c r="D70" s="2" t="s">
        <v>215</v>
      </c>
      <c r="E70" s="12">
        <v>45820</v>
      </c>
      <c r="F70" s="12">
        <v>45829</v>
      </c>
      <c r="G70" s="12" t="s">
        <v>299</v>
      </c>
      <c r="H70" s="15">
        <v>550</v>
      </c>
      <c r="I70">
        <v>140</v>
      </c>
      <c r="J70">
        <v>92</v>
      </c>
      <c r="K70" s="15">
        <v>97</v>
      </c>
      <c r="L70" s="13">
        <v>9</v>
      </c>
      <c r="M70" s="15">
        <v>22.34</v>
      </c>
      <c r="N70" s="7">
        <v>1.05</v>
      </c>
    </row>
    <row r="71" spans="1:14" x14ac:dyDescent="0.35">
      <c r="A71">
        <v>70</v>
      </c>
      <c r="B71" t="s">
        <v>42</v>
      </c>
      <c r="C71" t="s">
        <v>163</v>
      </c>
      <c r="D71" s="2" t="s">
        <v>216</v>
      </c>
      <c r="E71" s="12">
        <v>45838</v>
      </c>
      <c r="F71" s="12">
        <v>45848</v>
      </c>
      <c r="G71" s="12" t="s">
        <v>300</v>
      </c>
      <c r="H71" s="15">
        <v>121</v>
      </c>
      <c r="I71">
        <v>315</v>
      </c>
      <c r="J71">
        <v>92</v>
      </c>
      <c r="K71" s="15">
        <v>164</v>
      </c>
      <c r="L71" s="13">
        <v>10</v>
      </c>
      <c r="M71" s="15">
        <v>35.340000000000003</v>
      </c>
      <c r="N71" s="7">
        <v>1.78</v>
      </c>
    </row>
    <row r="72" spans="1:14" x14ac:dyDescent="0.35">
      <c r="A72">
        <v>71</v>
      </c>
      <c r="B72" t="s">
        <v>43</v>
      </c>
      <c r="C72" t="s">
        <v>169</v>
      </c>
      <c r="D72" s="2" t="s">
        <v>217</v>
      </c>
      <c r="E72" s="12">
        <v>45858</v>
      </c>
      <c r="F72" s="12">
        <v>45868</v>
      </c>
      <c r="G72" s="12" t="s">
        <v>301</v>
      </c>
      <c r="H72" s="15">
        <v>1</v>
      </c>
      <c r="I72">
        <v>310</v>
      </c>
      <c r="J72">
        <v>92</v>
      </c>
      <c r="K72" s="15">
        <v>148</v>
      </c>
      <c r="L72" s="13">
        <v>10</v>
      </c>
      <c r="M72" s="15">
        <v>42.14</v>
      </c>
      <c r="N72" s="7">
        <v>1.61</v>
      </c>
    </row>
    <row r="73" spans="1:14" x14ac:dyDescent="0.35">
      <c r="A73">
        <v>72</v>
      </c>
      <c r="B73" t="s">
        <v>44</v>
      </c>
      <c r="C73" t="s">
        <v>164</v>
      </c>
      <c r="D73" s="2" t="s">
        <v>218</v>
      </c>
      <c r="E73" s="12">
        <v>45806</v>
      </c>
      <c r="F73" s="12">
        <v>45816</v>
      </c>
      <c r="G73" s="12" t="s">
        <v>302</v>
      </c>
      <c r="H73" s="15">
        <v>95</v>
      </c>
      <c r="I73">
        <v>51</v>
      </c>
      <c r="J73">
        <v>92</v>
      </c>
      <c r="K73" s="15">
        <v>182</v>
      </c>
      <c r="L73" s="13">
        <v>10</v>
      </c>
      <c r="M73" s="15">
        <v>41.49</v>
      </c>
      <c r="N73" s="7">
        <v>1.98</v>
      </c>
    </row>
    <row r="74" spans="1:14" x14ac:dyDescent="0.35">
      <c r="A74">
        <v>73</v>
      </c>
      <c r="B74" t="s">
        <v>45</v>
      </c>
      <c r="C74" t="s">
        <v>173</v>
      </c>
      <c r="D74" s="2" t="s">
        <v>219</v>
      </c>
      <c r="E74" s="12">
        <v>45788</v>
      </c>
      <c r="F74" s="12">
        <v>45796</v>
      </c>
      <c r="G74" s="12" t="s">
        <v>303</v>
      </c>
      <c r="H74" s="15">
        <v>131</v>
      </c>
      <c r="I74">
        <v>308</v>
      </c>
      <c r="J74">
        <v>92</v>
      </c>
      <c r="K74" s="15">
        <v>140</v>
      </c>
      <c r="L74" s="13">
        <v>8</v>
      </c>
      <c r="M74" s="15">
        <v>39.130000000000003</v>
      </c>
      <c r="N74" s="7">
        <v>1.52</v>
      </c>
    </row>
    <row r="75" spans="1:14" x14ac:dyDescent="0.35">
      <c r="A75">
        <v>74</v>
      </c>
      <c r="B75" t="s">
        <v>46</v>
      </c>
      <c r="C75" t="s">
        <v>166</v>
      </c>
      <c r="D75" s="2" t="s">
        <v>220</v>
      </c>
      <c r="E75" s="12">
        <v>45787</v>
      </c>
      <c r="F75" s="12">
        <v>45797</v>
      </c>
      <c r="G75" s="12" t="s">
        <v>304</v>
      </c>
      <c r="H75" s="15">
        <v>470</v>
      </c>
      <c r="I75">
        <v>93</v>
      </c>
      <c r="J75">
        <v>92</v>
      </c>
      <c r="K75" s="15">
        <v>144</v>
      </c>
      <c r="L75" s="13">
        <v>10</v>
      </c>
      <c r="M75" s="15">
        <v>34.619999999999997</v>
      </c>
      <c r="N75" s="7">
        <v>1.57</v>
      </c>
    </row>
    <row r="76" spans="1:14" x14ac:dyDescent="0.35">
      <c r="A76">
        <v>75</v>
      </c>
      <c r="B76" t="s">
        <v>47</v>
      </c>
      <c r="C76" t="s">
        <v>162</v>
      </c>
      <c r="D76" s="2" t="s">
        <v>221</v>
      </c>
      <c r="E76" s="12">
        <v>45817</v>
      </c>
      <c r="F76" s="12">
        <v>45823</v>
      </c>
      <c r="G76" s="12" t="s">
        <v>305</v>
      </c>
      <c r="H76" s="15">
        <v>174</v>
      </c>
      <c r="I76">
        <v>100</v>
      </c>
      <c r="J76">
        <v>92</v>
      </c>
      <c r="K76" s="15">
        <v>106</v>
      </c>
      <c r="L76" s="13">
        <v>6</v>
      </c>
      <c r="M76" s="15">
        <v>29.44</v>
      </c>
      <c r="N76" s="7">
        <v>1.1499999999999999</v>
      </c>
    </row>
    <row r="77" spans="1:14" x14ac:dyDescent="0.35">
      <c r="A77">
        <v>76</v>
      </c>
      <c r="B77" t="s">
        <v>48</v>
      </c>
      <c r="C77" t="s">
        <v>162</v>
      </c>
      <c r="D77" s="2" t="s">
        <v>222</v>
      </c>
      <c r="E77" s="12">
        <v>45787</v>
      </c>
      <c r="F77" s="12">
        <v>45797</v>
      </c>
      <c r="G77" s="12" t="s">
        <v>306</v>
      </c>
      <c r="H77" s="15">
        <v>85</v>
      </c>
      <c r="I77">
        <v>864</v>
      </c>
      <c r="J77">
        <v>92</v>
      </c>
      <c r="K77" s="15">
        <v>130</v>
      </c>
      <c r="L77" s="13">
        <v>10</v>
      </c>
      <c r="M77" s="18">
        <v>21.3</v>
      </c>
      <c r="N77" s="7">
        <v>1.41</v>
      </c>
    </row>
    <row r="78" spans="1:14" x14ac:dyDescent="0.35">
      <c r="A78">
        <v>77</v>
      </c>
      <c r="B78" t="s">
        <v>49</v>
      </c>
      <c r="C78" t="s">
        <v>165</v>
      </c>
      <c r="D78" s="2" t="s">
        <v>224</v>
      </c>
      <c r="E78" s="12">
        <v>45805</v>
      </c>
      <c r="F78" s="12">
        <v>45813</v>
      </c>
      <c r="G78" s="12" t="s">
        <v>307</v>
      </c>
      <c r="H78" s="15">
        <v>166</v>
      </c>
      <c r="I78">
        <v>390</v>
      </c>
      <c r="J78">
        <v>92</v>
      </c>
      <c r="K78" s="15">
        <v>160</v>
      </c>
      <c r="L78" s="13">
        <v>8</v>
      </c>
      <c r="M78" s="15">
        <v>39.159999999999997</v>
      </c>
      <c r="N78" s="7">
        <v>1.74</v>
      </c>
    </row>
    <row r="79" spans="1:14" x14ac:dyDescent="0.35">
      <c r="A79">
        <v>78</v>
      </c>
      <c r="B79" t="s">
        <v>50</v>
      </c>
      <c r="C79" t="s">
        <v>173</v>
      </c>
      <c r="D79" s="2" t="s">
        <v>223</v>
      </c>
      <c r="E79" s="12">
        <v>45848</v>
      </c>
      <c r="F79" s="12">
        <v>45855</v>
      </c>
      <c r="G79" s="12" t="s">
        <v>308</v>
      </c>
      <c r="H79" s="15">
        <v>97</v>
      </c>
      <c r="I79">
        <v>857</v>
      </c>
      <c r="J79">
        <v>92</v>
      </c>
      <c r="K79" s="15">
        <v>162</v>
      </c>
      <c r="L79" s="13">
        <v>7</v>
      </c>
      <c r="M79" s="15">
        <v>21.15</v>
      </c>
      <c r="N79" s="7">
        <v>1.76</v>
      </c>
    </row>
    <row r="80" spans="1:14" x14ac:dyDescent="0.35">
      <c r="A80">
        <v>79</v>
      </c>
      <c r="B80" t="s">
        <v>51</v>
      </c>
      <c r="C80" t="s">
        <v>174</v>
      </c>
      <c r="D80" s="2" t="s">
        <v>212</v>
      </c>
      <c r="E80" s="12">
        <v>45805</v>
      </c>
      <c r="F80" s="12">
        <v>45812</v>
      </c>
      <c r="G80" s="12" t="s">
        <v>309</v>
      </c>
      <c r="H80" s="15">
        <v>183</v>
      </c>
      <c r="I80">
        <v>344</v>
      </c>
      <c r="J80">
        <v>92</v>
      </c>
      <c r="K80" s="15">
        <v>148</v>
      </c>
      <c r="L80" s="13">
        <v>7</v>
      </c>
      <c r="M80" s="15">
        <v>30.22</v>
      </c>
      <c r="N80" s="7">
        <v>1.61</v>
      </c>
    </row>
    <row r="81" spans="1:14" x14ac:dyDescent="0.35">
      <c r="A81">
        <v>80</v>
      </c>
      <c r="B81" t="s">
        <v>52</v>
      </c>
      <c r="C81" t="s">
        <v>179</v>
      </c>
      <c r="D81" s="2" t="s">
        <v>213</v>
      </c>
      <c r="E81" s="12">
        <v>45792</v>
      </c>
      <c r="F81" s="12">
        <v>45799</v>
      </c>
      <c r="G81" s="12" t="s">
        <v>310</v>
      </c>
      <c r="H81" s="15">
        <v>174</v>
      </c>
      <c r="I81">
        <v>357</v>
      </c>
      <c r="J81">
        <v>92</v>
      </c>
      <c r="K81" s="15">
        <v>136</v>
      </c>
      <c r="L81" s="13">
        <v>7</v>
      </c>
      <c r="M81" s="15">
        <v>29.12</v>
      </c>
      <c r="N81" s="7">
        <v>1.48</v>
      </c>
    </row>
    <row r="82" spans="1:14" x14ac:dyDescent="0.35">
      <c r="A82">
        <v>81</v>
      </c>
      <c r="B82" t="s">
        <v>53</v>
      </c>
      <c r="C82" t="s">
        <v>167</v>
      </c>
      <c r="D82" s="2" t="s">
        <v>214</v>
      </c>
      <c r="E82" s="12">
        <v>45778</v>
      </c>
      <c r="F82" s="12">
        <v>45786</v>
      </c>
      <c r="G82" s="12" t="s">
        <v>311</v>
      </c>
      <c r="H82" s="15">
        <v>207</v>
      </c>
      <c r="I82">
        <v>156</v>
      </c>
      <c r="J82">
        <v>92</v>
      </c>
      <c r="K82" s="15">
        <v>110</v>
      </c>
      <c r="L82" s="13">
        <v>8</v>
      </c>
      <c r="M82" s="15">
        <v>25.36</v>
      </c>
      <c r="N82" s="7">
        <v>1.2</v>
      </c>
    </row>
    <row r="83" spans="1:14" x14ac:dyDescent="0.35">
      <c r="A83">
        <v>82</v>
      </c>
      <c r="B83" t="s">
        <v>54</v>
      </c>
      <c r="C83" t="s">
        <v>166</v>
      </c>
      <c r="D83" s="2" t="s">
        <v>215</v>
      </c>
      <c r="E83" s="12">
        <v>45798</v>
      </c>
      <c r="F83" s="12">
        <v>45804</v>
      </c>
      <c r="G83" s="12" t="s">
        <v>312</v>
      </c>
      <c r="H83" s="15">
        <v>87</v>
      </c>
      <c r="I83">
        <v>261</v>
      </c>
      <c r="J83">
        <v>92</v>
      </c>
      <c r="K83" s="15">
        <v>182</v>
      </c>
      <c r="L83" s="13">
        <v>6</v>
      </c>
      <c r="M83" s="15">
        <v>30.67</v>
      </c>
      <c r="N83" s="7">
        <v>1.98</v>
      </c>
    </row>
    <row r="84" spans="1:14" x14ac:dyDescent="0.35">
      <c r="A84">
        <v>83</v>
      </c>
      <c r="B84" t="s">
        <v>55</v>
      </c>
      <c r="C84" t="s">
        <v>178</v>
      </c>
      <c r="D84" s="2" t="s">
        <v>216</v>
      </c>
      <c r="E84" s="12">
        <v>45794</v>
      </c>
      <c r="F84" s="12">
        <v>45800</v>
      </c>
      <c r="G84" s="12" t="s">
        <v>313</v>
      </c>
      <c r="H84" s="15">
        <v>508</v>
      </c>
      <c r="I84">
        <v>78</v>
      </c>
      <c r="J84">
        <v>92</v>
      </c>
      <c r="K84" s="15">
        <v>178</v>
      </c>
      <c r="L84" s="13">
        <v>6</v>
      </c>
      <c r="M84" s="15">
        <v>35.380000000000003</v>
      </c>
      <c r="N84" s="7">
        <v>1.93</v>
      </c>
    </row>
    <row r="85" spans="1:14" x14ac:dyDescent="0.35">
      <c r="A85">
        <v>84</v>
      </c>
      <c r="B85" t="s">
        <v>56</v>
      </c>
      <c r="C85" t="s">
        <v>180</v>
      </c>
      <c r="D85" s="2" t="s">
        <v>217</v>
      </c>
      <c r="E85" s="12">
        <v>45851</v>
      </c>
      <c r="F85" s="12">
        <v>45858</v>
      </c>
      <c r="G85" s="12" t="s">
        <v>314</v>
      </c>
      <c r="H85" s="15">
        <v>396</v>
      </c>
      <c r="I85">
        <v>173</v>
      </c>
      <c r="J85">
        <v>92</v>
      </c>
      <c r="K85" s="15">
        <v>150</v>
      </c>
      <c r="L85" s="13">
        <v>7</v>
      </c>
      <c r="M85" s="15">
        <v>28.72</v>
      </c>
      <c r="N85" s="7">
        <v>1.63</v>
      </c>
    </row>
    <row r="86" spans="1:14" x14ac:dyDescent="0.35">
      <c r="A86">
        <v>85</v>
      </c>
      <c r="B86" t="s">
        <v>57</v>
      </c>
      <c r="C86" t="s">
        <v>170</v>
      </c>
      <c r="D86" s="2" t="s">
        <v>218</v>
      </c>
      <c r="E86" s="12">
        <v>45847</v>
      </c>
      <c r="F86" s="12">
        <v>45856</v>
      </c>
      <c r="G86" s="12" t="s">
        <v>315</v>
      </c>
      <c r="H86" s="15">
        <v>189</v>
      </c>
      <c r="I86">
        <v>427</v>
      </c>
      <c r="J86">
        <v>92</v>
      </c>
      <c r="K86" s="15">
        <v>160</v>
      </c>
      <c r="L86" s="13">
        <v>9</v>
      </c>
      <c r="M86" s="15">
        <v>40.72</v>
      </c>
      <c r="N86" s="7">
        <v>1.74</v>
      </c>
    </row>
    <row r="87" spans="1:14" x14ac:dyDescent="0.35">
      <c r="A87">
        <v>86</v>
      </c>
      <c r="B87" t="s">
        <v>58</v>
      </c>
      <c r="C87" t="s">
        <v>163</v>
      </c>
      <c r="D87" s="2" t="s">
        <v>219</v>
      </c>
      <c r="E87" s="12">
        <v>45814</v>
      </c>
      <c r="F87" s="12">
        <v>45821</v>
      </c>
      <c r="G87" s="12" t="s">
        <v>316</v>
      </c>
      <c r="H87" s="15">
        <v>179</v>
      </c>
      <c r="I87">
        <v>419</v>
      </c>
      <c r="J87">
        <v>92</v>
      </c>
      <c r="K87" s="15">
        <v>128</v>
      </c>
      <c r="L87" s="13">
        <v>7</v>
      </c>
      <c r="M87" s="18">
        <v>39.299999999999997</v>
      </c>
      <c r="N87" s="7">
        <v>1.39</v>
      </c>
    </row>
    <row r="88" spans="1:14" x14ac:dyDescent="0.35">
      <c r="A88">
        <v>87</v>
      </c>
      <c r="B88" t="s">
        <v>59</v>
      </c>
      <c r="C88" t="s">
        <v>164</v>
      </c>
      <c r="D88" s="2" t="s">
        <v>220</v>
      </c>
      <c r="E88" s="12">
        <v>45805</v>
      </c>
      <c r="F88" s="12">
        <v>45813</v>
      </c>
      <c r="G88" s="12" t="s">
        <v>317</v>
      </c>
      <c r="H88" s="15">
        <v>1135</v>
      </c>
      <c r="I88">
        <v>73</v>
      </c>
      <c r="J88">
        <v>92</v>
      </c>
      <c r="K88" s="15">
        <v>142</v>
      </c>
      <c r="L88" s="13">
        <v>8</v>
      </c>
      <c r="M88" s="15">
        <v>44.11</v>
      </c>
      <c r="N88" s="7">
        <v>1.54</v>
      </c>
    </row>
    <row r="89" spans="1:14" x14ac:dyDescent="0.35">
      <c r="A89">
        <v>88</v>
      </c>
      <c r="B89" t="s">
        <v>60</v>
      </c>
      <c r="C89" t="s">
        <v>164</v>
      </c>
      <c r="D89" s="2" t="s">
        <v>221</v>
      </c>
      <c r="E89" s="12">
        <v>45834</v>
      </c>
      <c r="F89" s="12">
        <v>45842</v>
      </c>
      <c r="G89" s="12" t="s">
        <v>318</v>
      </c>
      <c r="H89" s="15">
        <v>406</v>
      </c>
      <c r="I89">
        <v>176</v>
      </c>
      <c r="J89">
        <v>92</v>
      </c>
      <c r="K89" s="15">
        <v>142</v>
      </c>
      <c r="L89" s="13">
        <v>8</v>
      </c>
      <c r="M89" s="15">
        <v>28.23</v>
      </c>
      <c r="N89" s="7">
        <v>1.54</v>
      </c>
    </row>
    <row r="90" spans="1:14" x14ac:dyDescent="0.35">
      <c r="A90">
        <v>89</v>
      </c>
      <c r="B90" t="s">
        <v>61</v>
      </c>
      <c r="C90" t="s">
        <v>171</v>
      </c>
      <c r="D90" s="2" t="s">
        <v>222</v>
      </c>
      <c r="E90" s="12">
        <v>45781</v>
      </c>
      <c r="F90" s="12">
        <v>45787</v>
      </c>
      <c r="G90" s="12" t="s">
        <v>319</v>
      </c>
      <c r="H90" s="15">
        <v>103</v>
      </c>
      <c r="I90">
        <v>467</v>
      </c>
      <c r="J90">
        <v>92</v>
      </c>
      <c r="K90" s="15">
        <v>120</v>
      </c>
      <c r="L90" s="13">
        <v>6</v>
      </c>
      <c r="M90" s="15">
        <v>20.29</v>
      </c>
      <c r="N90" s="7">
        <v>1.3</v>
      </c>
    </row>
    <row r="91" spans="1:14" x14ac:dyDescent="0.35">
      <c r="A91">
        <v>90</v>
      </c>
      <c r="B91" t="s">
        <v>62</v>
      </c>
      <c r="C91" t="s">
        <v>172</v>
      </c>
      <c r="D91" s="2" t="s">
        <v>224</v>
      </c>
      <c r="E91" s="12">
        <v>45804</v>
      </c>
      <c r="F91" s="12">
        <v>45814</v>
      </c>
      <c r="G91" s="12" t="s">
        <v>320</v>
      </c>
      <c r="H91" s="15">
        <v>89</v>
      </c>
      <c r="I91">
        <v>821</v>
      </c>
      <c r="J91">
        <v>92</v>
      </c>
      <c r="K91" s="15">
        <v>140</v>
      </c>
      <c r="L91" s="13">
        <v>10</v>
      </c>
      <c r="M91" s="15">
        <v>22.41</v>
      </c>
      <c r="N91" s="7">
        <v>1.52</v>
      </c>
    </row>
    <row r="92" spans="1:14" x14ac:dyDescent="0.35">
      <c r="A92">
        <v>91</v>
      </c>
      <c r="B92" t="s">
        <v>63</v>
      </c>
      <c r="C92" t="s">
        <v>162</v>
      </c>
      <c r="D92" s="2" t="s">
        <v>223</v>
      </c>
      <c r="E92" s="12">
        <v>45799</v>
      </c>
      <c r="F92" s="12">
        <v>45809</v>
      </c>
      <c r="G92" s="12" t="s">
        <v>321</v>
      </c>
      <c r="H92" s="15">
        <v>114</v>
      </c>
      <c r="I92">
        <v>295</v>
      </c>
      <c r="J92">
        <v>92</v>
      </c>
      <c r="K92" s="15">
        <v>188</v>
      </c>
      <c r="L92" s="13">
        <v>10</v>
      </c>
      <c r="M92" s="15">
        <v>35.549999999999997</v>
      </c>
      <c r="N92" s="7">
        <v>2.04</v>
      </c>
    </row>
    <row r="93" spans="1:14" x14ac:dyDescent="0.35">
      <c r="A93">
        <v>92</v>
      </c>
      <c r="B93" t="s">
        <v>64</v>
      </c>
      <c r="C93" t="s">
        <v>171</v>
      </c>
      <c r="D93" s="2" t="s">
        <v>212</v>
      </c>
      <c r="E93" s="12">
        <v>45848</v>
      </c>
      <c r="F93" s="12">
        <v>45858</v>
      </c>
      <c r="G93" s="12" t="s">
        <v>322</v>
      </c>
      <c r="H93" s="15">
        <v>124</v>
      </c>
      <c r="I93">
        <v>461</v>
      </c>
      <c r="J93">
        <v>92</v>
      </c>
      <c r="K93" s="15">
        <v>146</v>
      </c>
      <c r="L93" s="13">
        <v>10</v>
      </c>
      <c r="M93" s="15">
        <v>24.75</v>
      </c>
      <c r="N93" s="7">
        <v>1.59</v>
      </c>
    </row>
    <row r="94" spans="1:14" x14ac:dyDescent="0.35">
      <c r="A94">
        <v>93</v>
      </c>
      <c r="B94" t="s">
        <v>65</v>
      </c>
      <c r="C94" t="s">
        <v>163</v>
      </c>
      <c r="D94" s="2" t="s">
        <v>213</v>
      </c>
      <c r="E94" s="12">
        <v>45806</v>
      </c>
      <c r="F94" s="12">
        <v>45815</v>
      </c>
      <c r="G94" s="12" t="s">
        <v>323</v>
      </c>
      <c r="H94" s="15">
        <v>218</v>
      </c>
      <c r="I94">
        <v>253</v>
      </c>
      <c r="J94">
        <v>92</v>
      </c>
      <c r="K94" s="15">
        <v>132</v>
      </c>
      <c r="L94" s="13">
        <v>9</v>
      </c>
      <c r="M94" s="15">
        <v>23.27</v>
      </c>
      <c r="N94" s="7">
        <v>1.43</v>
      </c>
    </row>
    <row r="95" spans="1:14" x14ac:dyDescent="0.35">
      <c r="A95">
        <v>94</v>
      </c>
      <c r="B95" t="s">
        <v>66</v>
      </c>
      <c r="C95" t="s">
        <v>172</v>
      </c>
      <c r="D95" s="2" t="s">
        <v>214</v>
      </c>
      <c r="E95" s="12">
        <v>45828</v>
      </c>
      <c r="F95" s="12">
        <v>45834</v>
      </c>
      <c r="G95" s="12" t="s">
        <v>324</v>
      </c>
      <c r="H95" s="15">
        <v>43</v>
      </c>
      <c r="I95">
        <v>93</v>
      </c>
      <c r="J95">
        <v>92</v>
      </c>
      <c r="K95" s="15">
        <v>160</v>
      </c>
      <c r="L95" s="13">
        <v>6</v>
      </c>
      <c r="M95" s="15">
        <v>42.54</v>
      </c>
      <c r="N95" s="7">
        <v>1.74</v>
      </c>
    </row>
    <row r="96" spans="1:14" x14ac:dyDescent="0.35">
      <c r="A96">
        <v>95</v>
      </c>
      <c r="B96" t="s">
        <v>67</v>
      </c>
      <c r="C96" t="s">
        <v>162</v>
      </c>
      <c r="D96" s="2" t="s">
        <v>215</v>
      </c>
      <c r="E96" s="12">
        <v>45823</v>
      </c>
      <c r="F96" s="12">
        <v>45833</v>
      </c>
      <c r="G96" s="12" t="s">
        <v>325</v>
      </c>
      <c r="H96" s="15">
        <v>188</v>
      </c>
      <c r="I96">
        <v>85</v>
      </c>
      <c r="J96">
        <v>92</v>
      </c>
      <c r="K96" s="15">
        <v>154</v>
      </c>
      <c r="L96" s="13">
        <v>10</v>
      </c>
      <c r="M96" s="15">
        <v>34.64</v>
      </c>
      <c r="N96" s="7">
        <v>1.67</v>
      </c>
    </row>
    <row r="97" spans="1:14" x14ac:dyDescent="0.35">
      <c r="A97">
        <v>96</v>
      </c>
      <c r="B97" t="s">
        <v>68</v>
      </c>
      <c r="C97" t="s">
        <v>171</v>
      </c>
      <c r="D97" s="2" t="s">
        <v>216</v>
      </c>
      <c r="E97" s="12">
        <v>45850</v>
      </c>
      <c r="F97" s="12">
        <v>45860</v>
      </c>
      <c r="G97" s="12" t="s">
        <v>326</v>
      </c>
      <c r="H97" s="15">
        <v>35</v>
      </c>
      <c r="I97">
        <v>320</v>
      </c>
      <c r="J97">
        <v>92</v>
      </c>
      <c r="K97" s="15">
        <v>126</v>
      </c>
      <c r="L97" s="13">
        <v>10</v>
      </c>
      <c r="M97" s="15">
        <v>30.19</v>
      </c>
      <c r="N97" s="7">
        <v>1.37</v>
      </c>
    </row>
    <row r="98" spans="1:14" x14ac:dyDescent="0.35">
      <c r="A98">
        <v>97</v>
      </c>
      <c r="B98" t="s">
        <v>69</v>
      </c>
      <c r="C98" t="s">
        <v>166</v>
      </c>
      <c r="D98" s="2" t="s">
        <v>217</v>
      </c>
      <c r="E98" s="12">
        <v>45790</v>
      </c>
      <c r="F98" s="12">
        <v>45798</v>
      </c>
      <c r="G98" s="12" t="s">
        <v>327</v>
      </c>
      <c r="H98" s="15">
        <v>168</v>
      </c>
      <c r="I98">
        <v>103</v>
      </c>
      <c r="J98">
        <v>92</v>
      </c>
      <c r="K98" s="15">
        <v>136</v>
      </c>
      <c r="L98" s="13">
        <v>8</v>
      </c>
      <c r="M98" s="15">
        <v>27.69</v>
      </c>
      <c r="N98" s="7">
        <v>1.48</v>
      </c>
    </row>
    <row r="99" spans="1:14" x14ac:dyDescent="0.35">
      <c r="A99">
        <v>98</v>
      </c>
      <c r="B99" t="s">
        <v>70</v>
      </c>
      <c r="C99" t="s">
        <v>170</v>
      </c>
      <c r="D99" s="2" t="s">
        <v>218</v>
      </c>
      <c r="E99" s="12">
        <v>45785</v>
      </c>
      <c r="F99" s="12">
        <v>45794</v>
      </c>
      <c r="G99" s="12" t="s">
        <v>328</v>
      </c>
      <c r="H99" s="15">
        <v>101</v>
      </c>
      <c r="I99">
        <v>610</v>
      </c>
      <c r="J99">
        <v>92</v>
      </c>
      <c r="K99" s="15">
        <v>126</v>
      </c>
      <c r="L99" s="13">
        <v>9</v>
      </c>
      <c r="M99" s="15">
        <v>29.86</v>
      </c>
      <c r="N99" s="7">
        <v>1.37</v>
      </c>
    </row>
    <row r="100" spans="1:14" x14ac:dyDescent="0.35">
      <c r="A100">
        <v>99</v>
      </c>
      <c r="B100" t="s">
        <v>71</v>
      </c>
      <c r="C100" t="s">
        <v>179</v>
      </c>
      <c r="D100" s="2" t="s">
        <v>219</v>
      </c>
      <c r="E100" s="12">
        <v>45799</v>
      </c>
      <c r="F100" s="12">
        <v>45805</v>
      </c>
      <c r="G100" s="12" t="s">
        <v>329</v>
      </c>
      <c r="H100" s="15">
        <v>140</v>
      </c>
      <c r="I100">
        <v>517</v>
      </c>
      <c r="J100">
        <v>92</v>
      </c>
      <c r="K100" s="15">
        <v>134</v>
      </c>
      <c r="L100" s="13">
        <v>6</v>
      </c>
      <c r="M100" s="15">
        <v>24.91</v>
      </c>
      <c r="N100" s="7">
        <v>1.46</v>
      </c>
    </row>
    <row r="101" spans="1:14" x14ac:dyDescent="0.35">
      <c r="A101">
        <v>100</v>
      </c>
      <c r="B101" t="s">
        <v>72</v>
      </c>
      <c r="C101" t="s">
        <v>163</v>
      </c>
      <c r="D101" s="2" t="s">
        <v>220</v>
      </c>
      <c r="E101" s="12">
        <v>45844</v>
      </c>
      <c r="F101" s="12">
        <v>45852</v>
      </c>
      <c r="G101" s="12" t="s">
        <v>330</v>
      </c>
      <c r="H101" s="15">
        <v>63</v>
      </c>
      <c r="I101">
        <v>203</v>
      </c>
      <c r="J101">
        <v>92</v>
      </c>
      <c r="K101" s="15">
        <v>136</v>
      </c>
      <c r="L101" s="13">
        <v>8</v>
      </c>
      <c r="M101" s="15">
        <v>28.55</v>
      </c>
      <c r="N101" s="7">
        <v>1.48</v>
      </c>
    </row>
    <row r="102" spans="1:14" x14ac:dyDescent="0.35">
      <c r="A102">
        <v>101</v>
      </c>
      <c r="B102" t="s">
        <v>73</v>
      </c>
      <c r="C102" t="s">
        <v>176</v>
      </c>
      <c r="D102" s="2" t="s">
        <v>221</v>
      </c>
      <c r="E102" s="12">
        <v>45825</v>
      </c>
      <c r="F102" s="12">
        <v>45835</v>
      </c>
      <c r="G102" s="12" t="s">
        <v>331</v>
      </c>
      <c r="H102" s="15">
        <v>95</v>
      </c>
      <c r="I102">
        <v>736</v>
      </c>
      <c r="J102">
        <v>92</v>
      </c>
      <c r="K102" s="15">
        <v>136</v>
      </c>
      <c r="L102" s="13">
        <v>10</v>
      </c>
      <c r="M102" s="15">
        <v>25.13</v>
      </c>
      <c r="N102" s="7">
        <v>1.48</v>
      </c>
    </row>
    <row r="103" spans="1:14" x14ac:dyDescent="0.35">
      <c r="A103">
        <v>102</v>
      </c>
      <c r="B103" t="s">
        <v>74</v>
      </c>
      <c r="C103" t="s">
        <v>164</v>
      </c>
      <c r="D103" s="2" t="s">
        <v>222</v>
      </c>
      <c r="E103" s="12">
        <v>45835</v>
      </c>
      <c r="F103" s="12">
        <v>45842</v>
      </c>
      <c r="G103" s="12" t="s">
        <v>332</v>
      </c>
      <c r="H103" s="15">
        <v>80</v>
      </c>
      <c r="I103">
        <v>501</v>
      </c>
      <c r="J103">
        <v>92</v>
      </c>
      <c r="K103" s="15">
        <v>116</v>
      </c>
      <c r="L103" s="13">
        <v>7</v>
      </c>
      <c r="M103" s="15">
        <v>35.07</v>
      </c>
      <c r="N103" s="7">
        <v>1.26</v>
      </c>
    </row>
    <row r="104" spans="1:14" x14ac:dyDescent="0.35">
      <c r="A104">
        <v>103</v>
      </c>
      <c r="B104" t="s">
        <v>75</v>
      </c>
      <c r="C104" t="s">
        <v>168</v>
      </c>
      <c r="D104" s="2" t="s">
        <v>224</v>
      </c>
      <c r="E104" s="12">
        <v>45836</v>
      </c>
      <c r="F104" s="12">
        <v>45845</v>
      </c>
      <c r="G104" s="12" t="s">
        <v>333</v>
      </c>
      <c r="H104" s="15">
        <v>82</v>
      </c>
      <c r="I104">
        <v>751</v>
      </c>
      <c r="J104">
        <v>92</v>
      </c>
      <c r="K104" s="15">
        <v>114</v>
      </c>
      <c r="L104" s="13">
        <v>9</v>
      </c>
      <c r="M104" s="15">
        <v>20.95</v>
      </c>
      <c r="N104" s="7">
        <v>1.24</v>
      </c>
    </row>
    <row r="105" spans="1:14" x14ac:dyDescent="0.35">
      <c r="A105">
        <v>104</v>
      </c>
      <c r="B105" t="s">
        <v>76</v>
      </c>
      <c r="C105" t="s">
        <v>177</v>
      </c>
      <c r="D105" s="2" t="s">
        <v>223</v>
      </c>
      <c r="E105" s="12">
        <v>45795</v>
      </c>
      <c r="F105" s="12">
        <v>45805</v>
      </c>
      <c r="G105" s="12" t="s">
        <v>334</v>
      </c>
      <c r="H105" s="15">
        <v>95</v>
      </c>
      <c r="I105">
        <v>105</v>
      </c>
      <c r="J105">
        <v>92</v>
      </c>
      <c r="K105" s="15">
        <v>140</v>
      </c>
      <c r="L105" s="13">
        <v>10</v>
      </c>
      <c r="M105" s="15">
        <v>20.149999999999999</v>
      </c>
      <c r="N105" s="7">
        <v>1.52</v>
      </c>
    </row>
    <row r="106" spans="1:14" x14ac:dyDescent="0.35">
      <c r="A106">
        <v>105</v>
      </c>
      <c r="B106" t="s">
        <v>77</v>
      </c>
      <c r="C106" t="s">
        <v>177</v>
      </c>
      <c r="D106" s="2" t="s">
        <v>212</v>
      </c>
      <c r="E106" s="12">
        <v>45838</v>
      </c>
      <c r="F106" s="12">
        <v>45848</v>
      </c>
      <c r="G106" s="12" t="s">
        <v>335</v>
      </c>
      <c r="H106" s="15">
        <v>165</v>
      </c>
      <c r="I106">
        <v>483</v>
      </c>
      <c r="J106">
        <v>92</v>
      </c>
      <c r="K106" s="15">
        <v>134</v>
      </c>
      <c r="L106" s="13">
        <v>10</v>
      </c>
      <c r="M106" s="15">
        <v>31.43</v>
      </c>
      <c r="N106" s="7">
        <v>1.46</v>
      </c>
    </row>
    <row r="107" spans="1:14" x14ac:dyDescent="0.35">
      <c r="A107">
        <v>106</v>
      </c>
      <c r="B107" t="s">
        <v>78</v>
      </c>
      <c r="C107" t="s">
        <v>167</v>
      </c>
      <c r="D107" s="2" t="s">
        <v>213</v>
      </c>
      <c r="E107" s="12">
        <v>45845</v>
      </c>
      <c r="F107" s="12">
        <v>45853</v>
      </c>
      <c r="G107" s="12" t="s">
        <v>336</v>
      </c>
      <c r="H107" s="15">
        <v>110</v>
      </c>
      <c r="I107">
        <v>378</v>
      </c>
      <c r="J107">
        <v>92</v>
      </c>
      <c r="K107" s="15">
        <v>174</v>
      </c>
      <c r="L107" s="13">
        <v>8</v>
      </c>
      <c r="M107" s="15">
        <v>26.77</v>
      </c>
      <c r="N107" s="7">
        <v>1.89</v>
      </c>
    </row>
    <row r="108" spans="1:14" x14ac:dyDescent="0.35">
      <c r="A108">
        <v>107</v>
      </c>
      <c r="B108" t="s">
        <v>79</v>
      </c>
      <c r="C108" t="s">
        <v>162</v>
      </c>
      <c r="D108" s="2" t="s">
        <v>214</v>
      </c>
      <c r="E108" s="12">
        <v>45807</v>
      </c>
      <c r="F108" s="12">
        <v>45816</v>
      </c>
      <c r="G108" s="12" t="s">
        <v>337</v>
      </c>
      <c r="H108" s="15">
        <v>254</v>
      </c>
      <c r="I108">
        <v>138</v>
      </c>
      <c r="J108">
        <v>92</v>
      </c>
      <c r="K108" s="15">
        <v>114</v>
      </c>
      <c r="L108" s="13">
        <v>9</v>
      </c>
      <c r="M108" s="15">
        <v>42.67</v>
      </c>
      <c r="N108" s="7">
        <v>1.24</v>
      </c>
    </row>
    <row r="109" spans="1:14" x14ac:dyDescent="0.35">
      <c r="A109">
        <v>108</v>
      </c>
      <c r="B109" t="s">
        <v>80</v>
      </c>
      <c r="C109" t="s">
        <v>170</v>
      </c>
      <c r="D109" s="2" t="s">
        <v>215</v>
      </c>
      <c r="E109" s="12">
        <v>45787</v>
      </c>
      <c r="F109" s="12">
        <v>45794</v>
      </c>
      <c r="G109" s="12" t="s">
        <v>338</v>
      </c>
      <c r="H109" s="15">
        <v>231</v>
      </c>
      <c r="I109">
        <v>218</v>
      </c>
      <c r="J109">
        <v>92</v>
      </c>
      <c r="K109" s="15">
        <v>116</v>
      </c>
      <c r="L109" s="13">
        <v>7</v>
      </c>
      <c r="M109" s="15">
        <v>26.59</v>
      </c>
      <c r="N109" s="7">
        <v>1.26</v>
      </c>
    </row>
    <row r="110" spans="1:14" x14ac:dyDescent="0.35">
      <c r="A110">
        <v>109</v>
      </c>
      <c r="B110" t="s">
        <v>81</v>
      </c>
      <c r="C110" t="s">
        <v>172</v>
      </c>
      <c r="D110" s="2" t="s">
        <v>216</v>
      </c>
      <c r="E110" s="12">
        <v>45822</v>
      </c>
      <c r="F110" s="12">
        <v>45828</v>
      </c>
      <c r="G110" s="12" t="s">
        <v>339</v>
      </c>
      <c r="H110" s="15">
        <v>442</v>
      </c>
      <c r="I110">
        <v>102</v>
      </c>
      <c r="J110">
        <v>92</v>
      </c>
      <c r="K110" s="15">
        <v>178</v>
      </c>
      <c r="L110" s="13">
        <v>6</v>
      </c>
      <c r="M110" s="15">
        <v>33.369999999999997</v>
      </c>
      <c r="N110" s="7">
        <v>1.93</v>
      </c>
    </row>
    <row r="111" spans="1:14" x14ac:dyDescent="0.35">
      <c r="A111">
        <v>110</v>
      </c>
      <c r="B111" t="s">
        <v>82</v>
      </c>
      <c r="C111" t="s">
        <v>165</v>
      </c>
      <c r="D111" s="2" t="s">
        <v>217</v>
      </c>
      <c r="E111" s="12">
        <v>45834</v>
      </c>
      <c r="F111" s="12">
        <v>45844</v>
      </c>
      <c r="G111" s="12" t="s">
        <v>340</v>
      </c>
      <c r="H111" s="15">
        <v>83</v>
      </c>
      <c r="I111">
        <v>217</v>
      </c>
      <c r="J111">
        <v>92</v>
      </c>
      <c r="K111" s="15">
        <v>167</v>
      </c>
      <c r="L111" s="13">
        <v>10</v>
      </c>
      <c r="M111" s="15">
        <v>35.19</v>
      </c>
      <c r="N111" s="7">
        <v>1.82</v>
      </c>
    </row>
    <row r="112" spans="1:14" x14ac:dyDescent="0.35">
      <c r="A112">
        <v>111</v>
      </c>
      <c r="B112" t="s">
        <v>83</v>
      </c>
      <c r="C112" t="s">
        <v>163</v>
      </c>
      <c r="D112" s="2" t="s">
        <v>218</v>
      </c>
      <c r="E112" s="12">
        <v>45789</v>
      </c>
      <c r="F112" s="12">
        <v>45797</v>
      </c>
      <c r="G112" s="12" t="s">
        <v>341</v>
      </c>
      <c r="H112" s="15">
        <v>640</v>
      </c>
      <c r="I112">
        <v>112</v>
      </c>
      <c r="J112">
        <v>92</v>
      </c>
      <c r="K112" s="15">
        <v>180</v>
      </c>
      <c r="L112" s="13">
        <v>8</v>
      </c>
      <c r="M112" s="15">
        <v>27.93</v>
      </c>
      <c r="N112" s="7">
        <v>1.96</v>
      </c>
    </row>
    <row r="113" spans="1:14" x14ac:dyDescent="0.35">
      <c r="A113">
        <v>112</v>
      </c>
      <c r="B113" t="s">
        <v>84</v>
      </c>
      <c r="C113" t="s">
        <v>174</v>
      </c>
      <c r="D113" s="2" t="s">
        <v>219</v>
      </c>
      <c r="E113" s="12">
        <v>45807</v>
      </c>
      <c r="F113" s="12">
        <v>45813</v>
      </c>
      <c r="G113" s="12" t="s">
        <v>342</v>
      </c>
      <c r="H113" s="15">
        <v>70</v>
      </c>
      <c r="I113">
        <v>255</v>
      </c>
      <c r="J113">
        <v>92</v>
      </c>
      <c r="K113" s="15">
        <v>122</v>
      </c>
      <c r="L113" s="13">
        <v>6</v>
      </c>
      <c r="M113" s="15">
        <v>25.25</v>
      </c>
      <c r="N113" s="7">
        <v>1.33</v>
      </c>
    </row>
    <row r="114" spans="1:14" x14ac:dyDescent="0.35">
      <c r="A114">
        <v>113</v>
      </c>
      <c r="B114" t="s">
        <v>85</v>
      </c>
      <c r="C114" t="s">
        <v>171</v>
      </c>
      <c r="D114" s="2" t="s">
        <v>220</v>
      </c>
      <c r="E114" s="12">
        <v>45787</v>
      </c>
      <c r="F114" s="12">
        <v>45796</v>
      </c>
      <c r="G114" s="12" t="s">
        <v>343</v>
      </c>
      <c r="H114" s="15">
        <v>76</v>
      </c>
      <c r="I114">
        <v>797</v>
      </c>
      <c r="J114">
        <v>92</v>
      </c>
      <c r="K114" s="15">
        <v>140</v>
      </c>
      <c r="L114" s="13">
        <v>9</v>
      </c>
      <c r="M114" s="18">
        <v>23.2</v>
      </c>
      <c r="N114" s="7">
        <v>1.52</v>
      </c>
    </row>
    <row r="115" spans="1:14" x14ac:dyDescent="0.35">
      <c r="A115">
        <v>114</v>
      </c>
      <c r="B115" t="s">
        <v>86</v>
      </c>
      <c r="C115" t="s">
        <v>168</v>
      </c>
      <c r="D115" s="2" t="s">
        <v>221</v>
      </c>
      <c r="E115" s="12">
        <v>45794</v>
      </c>
      <c r="F115" s="12">
        <v>45800</v>
      </c>
      <c r="G115" s="12" t="s">
        <v>344</v>
      </c>
      <c r="H115" s="15">
        <v>326</v>
      </c>
      <c r="I115">
        <v>75</v>
      </c>
      <c r="J115">
        <v>92</v>
      </c>
      <c r="K115" s="15">
        <v>160</v>
      </c>
      <c r="L115" s="13">
        <v>6</v>
      </c>
      <c r="M115" s="15">
        <v>39.25</v>
      </c>
      <c r="N115" s="7">
        <v>1.74</v>
      </c>
    </row>
    <row r="116" spans="1:14" x14ac:dyDescent="0.35">
      <c r="A116">
        <v>115</v>
      </c>
      <c r="B116" t="s">
        <v>87</v>
      </c>
      <c r="C116" t="s">
        <v>174</v>
      </c>
      <c r="D116" s="2" t="s">
        <v>222</v>
      </c>
      <c r="E116" s="12">
        <v>45805</v>
      </c>
      <c r="F116" s="12">
        <v>45815</v>
      </c>
      <c r="G116" s="12" t="s">
        <v>345</v>
      </c>
      <c r="H116" s="15">
        <v>74</v>
      </c>
      <c r="I116">
        <v>198</v>
      </c>
      <c r="J116">
        <v>92</v>
      </c>
      <c r="K116" s="15">
        <v>186</v>
      </c>
      <c r="L116" s="13">
        <v>10</v>
      </c>
      <c r="M116" s="15">
        <v>34.380000000000003</v>
      </c>
      <c r="N116" s="7">
        <v>2.02</v>
      </c>
    </row>
    <row r="117" spans="1:14" x14ac:dyDescent="0.35">
      <c r="A117">
        <v>116</v>
      </c>
      <c r="B117" t="s">
        <v>88</v>
      </c>
      <c r="C117" t="s">
        <v>173</v>
      </c>
      <c r="D117" s="2" t="s">
        <v>224</v>
      </c>
      <c r="E117" s="12">
        <v>45788</v>
      </c>
      <c r="F117" s="12">
        <v>45793</v>
      </c>
      <c r="G117" s="12" t="s">
        <v>346</v>
      </c>
      <c r="H117" s="15">
        <v>122</v>
      </c>
      <c r="I117">
        <v>548</v>
      </c>
      <c r="J117">
        <v>92</v>
      </c>
      <c r="K117" s="15">
        <v>118</v>
      </c>
      <c r="L117" s="13">
        <v>5</v>
      </c>
      <c r="M117" s="15">
        <v>20.48</v>
      </c>
      <c r="N117" s="7">
        <v>1.28</v>
      </c>
    </row>
    <row r="118" spans="1:14" x14ac:dyDescent="0.35">
      <c r="A118">
        <v>117</v>
      </c>
      <c r="B118" t="s">
        <v>89</v>
      </c>
      <c r="C118" t="s">
        <v>171</v>
      </c>
      <c r="D118" s="2" t="s">
        <v>223</v>
      </c>
      <c r="E118" s="12">
        <v>45786</v>
      </c>
      <c r="F118" s="12">
        <v>45795</v>
      </c>
      <c r="G118" s="12" t="s">
        <v>347</v>
      </c>
      <c r="H118" s="15">
        <v>41</v>
      </c>
      <c r="I118">
        <v>577</v>
      </c>
      <c r="J118">
        <v>92</v>
      </c>
      <c r="K118" s="15">
        <v>172</v>
      </c>
      <c r="L118" s="13">
        <v>9</v>
      </c>
      <c r="M118" s="15">
        <v>32.049999999999997</v>
      </c>
      <c r="N118" s="7">
        <v>1.87</v>
      </c>
    </row>
    <row r="119" spans="1:14" x14ac:dyDescent="0.35">
      <c r="A119">
        <v>118</v>
      </c>
      <c r="B119" t="s">
        <v>90</v>
      </c>
      <c r="C119" t="s">
        <v>166</v>
      </c>
      <c r="D119" s="2" t="s">
        <v>212</v>
      </c>
      <c r="E119" s="12">
        <v>45781</v>
      </c>
      <c r="F119" s="12">
        <v>45787</v>
      </c>
      <c r="G119" s="12" t="s">
        <v>348</v>
      </c>
      <c r="H119" s="15">
        <v>91</v>
      </c>
      <c r="I119">
        <v>696</v>
      </c>
      <c r="J119">
        <v>92</v>
      </c>
      <c r="K119" s="15">
        <v>140</v>
      </c>
      <c r="L119" s="13">
        <v>6</v>
      </c>
      <c r="M119" s="15">
        <v>28.02</v>
      </c>
      <c r="N119" s="7">
        <v>1.52</v>
      </c>
    </row>
    <row r="120" spans="1:14" x14ac:dyDescent="0.35">
      <c r="A120">
        <v>119</v>
      </c>
      <c r="B120" t="s">
        <v>91</v>
      </c>
      <c r="C120" t="s">
        <v>170</v>
      </c>
      <c r="D120" s="2" t="s">
        <v>213</v>
      </c>
      <c r="E120" s="12">
        <v>45788</v>
      </c>
      <c r="F120" s="12">
        <v>45794</v>
      </c>
      <c r="G120" s="12" t="s">
        <v>349</v>
      </c>
      <c r="H120" s="15">
        <v>111</v>
      </c>
      <c r="I120">
        <v>171</v>
      </c>
      <c r="J120">
        <v>92</v>
      </c>
      <c r="K120" s="15">
        <v>118</v>
      </c>
      <c r="L120" s="13">
        <v>6</v>
      </c>
      <c r="M120" s="15">
        <v>34.97</v>
      </c>
      <c r="N120" s="7">
        <v>1.28</v>
      </c>
    </row>
    <row r="121" spans="1:14" x14ac:dyDescent="0.35">
      <c r="A121">
        <v>120</v>
      </c>
      <c r="B121" t="s">
        <v>92</v>
      </c>
      <c r="C121" t="s">
        <v>165</v>
      </c>
      <c r="D121" s="2" t="s">
        <v>214</v>
      </c>
      <c r="E121" s="12">
        <v>45778</v>
      </c>
      <c r="F121" s="12">
        <v>45787</v>
      </c>
      <c r="G121" s="12" t="s">
        <v>350</v>
      </c>
      <c r="H121" s="15">
        <v>223</v>
      </c>
      <c r="I121">
        <v>178</v>
      </c>
      <c r="J121">
        <v>92</v>
      </c>
      <c r="K121" s="15">
        <v>164</v>
      </c>
      <c r="L121" s="13">
        <v>9</v>
      </c>
      <c r="M121" s="15">
        <v>23.26</v>
      </c>
      <c r="N121" s="7">
        <v>1.78</v>
      </c>
    </row>
    <row r="122" spans="1:14" x14ac:dyDescent="0.35">
      <c r="A122">
        <v>121</v>
      </c>
      <c r="B122" t="s">
        <v>93</v>
      </c>
      <c r="C122" t="s">
        <v>177</v>
      </c>
      <c r="D122" s="2" t="s">
        <v>215</v>
      </c>
      <c r="E122" s="12">
        <v>45823</v>
      </c>
      <c r="F122" s="12">
        <v>45832</v>
      </c>
      <c r="G122" s="12" t="s">
        <v>351</v>
      </c>
      <c r="H122" s="15">
        <v>83</v>
      </c>
      <c r="I122">
        <v>462</v>
      </c>
      <c r="J122">
        <v>92</v>
      </c>
      <c r="K122" s="15">
        <v>156</v>
      </c>
      <c r="L122" s="13">
        <v>9</v>
      </c>
      <c r="M122" s="15">
        <v>30.67</v>
      </c>
      <c r="N122" s="7">
        <v>1.7</v>
      </c>
    </row>
    <row r="123" spans="1:14" x14ac:dyDescent="0.35">
      <c r="A123">
        <v>122</v>
      </c>
      <c r="B123" t="s">
        <v>94</v>
      </c>
      <c r="C123" t="s">
        <v>163</v>
      </c>
      <c r="D123" s="2" t="s">
        <v>216</v>
      </c>
      <c r="E123" s="12">
        <v>45787</v>
      </c>
      <c r="F123" s="12">
        <v>45797</v>
      </c>
      <c r="G123" s="12" t="s">
        <v>352</v>
      </c>
      <c r="H123" s="15">
        <v>68</v>
      </c>
      <c r="I123">
        <v>282</v>
      </c>
      <c r="J123">
        <v>92</v>
      </c>
      <c r="K123" s="15">
        <v>112</v>
      </c>
      <c r="L123" s="13">
        <v>10</v>
      </c>
      <c r="M123" s="15">
        <v>22.18</v>
      </c>
      <c r="N123" s="7">
        <v>1.22</v>
      </c>
    </row>
    <row r="124" spans="1:14" x14ac:dyDescent="0.35">
      <c r="A124">
        <v>123</v>
      </c>
      <c r="B124" t="s">
        <v>95</v>
      </c>
      <c r="C124" t="s">
        <v>172</v>
      </c>
      <c r="D124" s="2" t="s">
        <v>217</v>
      </c>
      <c r="E124" s="12">
        <v>45815</v>
      </c>
      <c r="F124" s="12">
        <v>45824</v>
      </c>
      <c r="G124" s="12" t="s">
        <v>353</v>
      </c>
      <c r="H124" s="15">
        <v>234</v>
      </c>
      <c r="I124">
        <v>266</v>
      </c>
      <c r="J124">
        <v>92</v>
      </c>
      <c r="K124" s="15">
        <v>134</v>
      </c>
      <c r="L124" s="13">
        <v>9</v>
      </c>
      <c r="M124" s="18">
        <v>42.2</v>
      </c>
      <c r="N124" s="7">
        <v>1.46</v>
      </c>
    </row>
    <row r="125" spans="1:14" x14ac:dyDescent="0.35">
      <c r="A125">
        <v>124</v>
      </c>
      <c r="B125" t="s">
        <v>96</v>
      </c>
      <c r="C125" t="s">
        <v>178</v>
      </c>
      <c r="D125" s="2" t="s">
        <v>218</v>
      </c>
      <c r="E125" s="12">
        <v>45824</v>
      </c>
      <c r="F125" s="12">
        <v>45832</v>
      </c>
      <c r="G125" s="12" t="s">
        <v>354</v>
      </c>
      <c r="H125" s="15">
        <v>108</v>
      </c>
      <c r="I125">
        <v>550</v>
      </c>
      <c r="J125">
        <v>92</v>
      </c>
      <c r="K125" s="15">
        <v>150</v>
      </c>
      <c r="L125" s="13">
        <v>8</v>
      </c>
      <c r="M125" s="15">
        <v>26.43</v>
      </c>
      <c r="N125" s="7">
        <v>1.63</v>
      </c>
    </row>
    <row r="126" spans="1:14" x14ac:dyDescent="0.35">
      <c r="A126">
        <v>125</v>
      </c>
      <c r="B126" t="s">
        <v>97</v>
      </c>
      <c r="C126" t="s">
        <v>173</v>
      </c>
      <c r="D126" s="2" t="s">
        <v>219</v>
      </c>
      <c r="E126" s="12">
        <v>45838</v>
      </c>
      <c r="F126" s="12">
        <v>45845</v>
      </c>
      <c r="G126" s="12" t="s">
        <v>355</v>
      </c>
      <c r="H126" s="15">
        <v>65</v>
      </c>
      <c r="I126">
        <v>388</v>
      </c>
      <c r="J126">
        <v>92</v>
      </c>
      <c r="K126" s="15">
        <v>170</v>
      </c>
      <c r="L126" s="13">
        <v>7</v>
      </c>
      <c r="M126" s="18">
        <v>24.9</v>
      </c>
      <c r="N126" s="7">
        <v>1.85</v>
      </c>
    </row>
    <row r="127" spans="1:14" x14ac:dyDescent="0.35">
      <c r="A127">
        <v>126</v>
      </c>
      <c r="B127" t="s">
        <v>98</v>
      </c>
      <c r="C127" t="s">
        <v>181</v>
      </c>
      <c r="D127" s="2" t="s">
        <v>220</v>
      </c>
      <c r="E127" s="12">
        <v>45780</v>
      </c>
      <c r="F127" s="12">
        <v>45787</v>
      </c>
      <c r="G127" s="12" t="s">
        <v>356</v>
      </c>
      <c r="H127" s="15">
        <v>99</v>
      </c>
      <c r="I127">
        <v>140</v>
      </c>
      <c r="J127">
        <v>92</v>
      </c>
      <c r="K127" s="15">
        <v>176</v>
      </c>
      <c r="L127" s="13">
        <v>7</v>
      </c>
      <c r="M127" s="15">
        <v>25.63</v>
      </c>
      <c r="N127" s="7">
        <v>1.91</v>
      </c>
    </row>
    <row r="128" spans="1:14" x14ac:dyDescent="0.35">
      <c r="A128">
        <v>127</v>
      </c>
      <c r="B128" t="s">
        <v>99</v>
      </c>
      <c r="C128" t="s">
        <v>174</v>
      </c>
      <c r="D128" s="2" t="s">
        <v>221</v>
      </c>
      <c r="E128" s="12">
        <v>45790</v>
      </c>
      <c r="F128" s="12">
        <v>45800</v>
      </c>
      <c r="G128" s="12" t="s">
        <v>357</v>
      </c>
      <c r="H128" s="15">
        <v>99</v>
      </c>
      <c r="I128">
        <v>619</v>
      </c>
      <c r="J128">
        <v>92</v>
      </c>
      <c r="K128" s="15">
        <v>180</v>
      </c>
      <c r="L128" s="13">
        <v>10</v>
      </c>
      <c r="M128" s="15">
        <v>29.58</v>
      </c>
      <c r="N128" s="7">
        <v>1.96</v>
      </c>
    </row>
    <row r="129" spans="1:14" x14ac:dyDescent="0.35">
      <c r="A129">
        <v>128</v>
      </c>
      <c r="B129" t="s">
        <v>100</v>
      </c>
      <c r="C129" t="s">
        <v>166</v>
      </c>
      <c r="D129" s="2" t="s">
        <v>222</v>
      </c>
      <c r="E129" s="12">
        <v>45799</v>
      </c>
      <c r="F129" s="12">
        <v>45807</v>
      </c>
      <c r="G129" s="12" t="s">
        <v>358</v>
      </c>
      <c r="H129" s="15">
        <v>307</v>
      </c>
      <c r="I129">
        <v>127</v>
      </c>
      <c r="J129">
        <v>92</v>
      </c>
      <c r="K129" s="15">
        <v>106</v>
      </c>
      <c r="L129" s="13">
        <v>8</v>
      </c>
      <c r="M129" s="18">
        <v>26.8</v>
      </c>
      <c r="N129" s="7">
        <v>1.1499999999999999</v>
      </c>
    </row>
    <row r="130" spans="1:14" x14ac:dyDescent="0.35">
      <c r="A130">
        <v>129</v>
      </c>
      <c r="B130" t="s">
        <v>101</v>
      </c>
      <c r="C130" t="s">
        <v>179</v>
      </c>
      <c r="D130" s="2" t="s">
        <v>224</v>
      </c>
      <c r="E130" s="12">
        <v>45827</v>
      </c>
      <c r="F130" s="12">
        <v>45836</v>
      </c>
      <c r="G130" s="12" t="s">
        <v>359</v>
      </c>
      <c r="H130" s="15">
        <v>60</v>
      </c>
      <c r="I130">
        <v>143</v>
      </c>
      <c r="J130">
        <v>92</v>
      </c>
      <c r="K130" s="15">
        <v>158</v>
      </c>
      <c r="L130" s="13">
        <v>9</v>
      </c>
      <c r="M130" s="18">
        <v>38.6</v>
      </c>
      <c r="N130" s="7">
        <v>1.72</v>
      </c>
    </row>
    <row r="131" spans="1:14" x14ac:dyDescent="0.35">
      <c r="A131">
        <v>139</v>
      </c>
      <c r="B131" t="s">
        <v>102</v>
      </c>
      <c r="C131" t="s">
        <v>178</v>
      </c>
      <c r="D131" s="2" t="s">
        <v>223</v>
      </c>
      <c r="E131" s="12">
        <v>45784</v>
      </c>
      <c r="F131" s="12">
        <v>45793</v>
      </c>
      <c r="G131" s="12" t="s">
        <v>360</v>
      </c>
      <c r="H131" s="15">
        <v>48</v>
      </c>
      <c r="I131">
        <v>94</v>
      </c>
      <c r="J131">
        <v>92</v>
      </c>
      <c r="K131" s="15">
        <v>168</v>
      </c>
      <c r="L131" s="13">
        <v>9</v>
      </c>
      <c r="M131" s="15">
        <v>31.32</v>
      </c>
      <c r="N131" s="7">
        <v>1.83</v>
      </c>
    </row>
    <row r="132" spans="1:14" x14ac:dyDescent="0.35">
      <c r="A132">
        <v>131</v>
      </c>
      <c r="B132" t="s">
        <v>103</v>
      </c>
      <c r="C132" t="s">
        <v>169</v>
      </c>
      <c r="D132" s="2" t="s">
        <v>212</v>
      </c>
      <c r="E132" s="12">
        <v>45811</v>
      </c>
      <c r="F132" s="12">
        <v>45820</v>
      </c>
      <c r="G132" s="12" t="s">
        <v>361</v>
      </c>
      <c r="H132" s="15">
        <v>177</v>
      </c>
      <c r="I132">
        <v>247</v>
      </c>
      <c r="J132">
        <v>92</v>
      </c>
      <c r="K132" s="15">
        <v>184</v>
      </c>
      <c r="L132" s="13">
        <v>9</v>
      </c>
      <c r="M132" s="15">
        <v>37.25</v>
      </c>
      <c r="N132" s="7">
        <v>2</v>
      </c>
    </row>
    <row r="133" spans="1:14" x14ac:dyDescent="0.35">
      <c r="A133">
        <v>132</v>
      </c>
      <c r="B133" t="s">
        <v>104</v>
      </c>
      <c r="C133" t="s">
        <v>162</v>
      </c>
      <c r="D133" s="2" t="s">
        <v>213</v>
      </c>
      <c r="E133" s="12">
        <v>45838</v>
      </c>
      <c r="F133" s="12">
        <v>45845</v>
      </c>
      <c r="G133" s="12" t="s">
        <v>362</v>
      </c>
      <c r="H133" s="15">
        <v>193</v>
      </c>
      <c r="I133">
        <v>75</v>
      </c>
      <c r="J133">
        <v>92</v>
      </c>
      <c r="K133" s="15">
        <v>134</v>
      </c>
      <c r="L133" s="13">
        <v>7</v>
      </c>
      <c r="M133" s="15">
        <v>39.25</v>
      </c>
      <c r="N133" s="7">
        <v>1.46</v>
      </c>
    </row>
    <row r="134" spans="1:14" x14ac:dyDescent="0.35">
      <c r="A134">
        <v>133</v>
      </c>
      <c r="B134" t="s">
        <v>105</v>
      </c>
      <c r="C134" t="s">
        <v>169</v>
      </c>
      <c r="D134" s="2" t="s">
        <v>214</v>
      </c>
      <c r="E134" s="12">
        <v>45799</v>
      </c>
      <c r="F134" s="12">
        <v>45808</v>
      </c>
      <c r="G134" s="12" t="s">
        <v>363</v>
      </c>
      <c r="H134" s="15">
        <v>89</v>
      </c>
      <c r="I134">
        <v>204</v>
      </c>
      <c r="J134">
        <v>92</v>
      </c>
      <c r="K134" s="15">
        <v>108</v>
      </c>
      <c r="L134" s="13">
        <v>9</v>
      </c>
      <c r="M134" s="15">
        <v>40.14</v>
      </c>
      <c r="N134" s="7">
        <v>1.17</v>
      </c>
    </row>
    <row r="135" spans="1:14" x14ac:dyDescent="0.35">
      <c r="A135">
        <v>134</v>
      </c>
      <c r="B135" t="s">
        <v>106</v>
      </c>
      <c r="C135" t="s">
        <v>170</v>
      </c>
      <c r="D135" s="2" t="s">
        <v>215</v>
      </c>
      <c r="E135" s="12">
        <v>45779</v>
      </c>
      <c r="F135" s="12">
        <v>45786</v>
      </c>
      <c r="G135" s="12" t="s">
        <v>364</v>
      </c>
      <c r="H135" s="15">
        <v>183</v>
      </c>
      <c r="I135">
        <v>79</v>
      </c>
      <c r="J135">
        <v>92</v>
      </c>
      <c r="K135" s="15">
        <v>170</v>
      </c>
      <c r="L135" s="13">
        <v>7</v>
      </c>
      <c r="M135" s="15">
        <v>33.770000000000003</v>
      </c>
      <c r="N135" s="7">
        <v>1.85</v>
      </c>
    </row>
    <row r="136" spans="1:14" x14ac:dyDescent="0.35">
      <c r="A136">
        <v>135</v>
      </c>
      <c r="B136" t="s">
        <v>107</v>
      </c>
      <c r="C136" t="s">
        <v>180</v>
      </c>
      <c r="D136" s="2" t="s">
        <v>216</v>
      </c>
      <c r="E136" s="12">
        <v>45782</v>
      </c>
      <c r="F136" s="12">
        <v>45788</v>
      </c>
      <c r="G136" s="12" t="s">
        <v>365</v>
      </c>
      <c r="H136" s="15">
        <v>1084</v>
      </c>
      <c r="I136">
        <v>51</v>
      </c>
      <c r="J136">
        <v>92</v>
      </c>
      <c r="K136" s="15">
        <v>110</v>
      </c>
      <c r="L136" s="13">
        <v>6</v>
      </c>
      <c r="M136" s="15">
        <v>34.270000000000003</v>
      </c>
      <c r="N136" s="7">
        <v>1.2</v>
      </c>
    </row>
    <row r="137" spans="1:14" x14ac:dyDescent="0.35">
      <c r="A137">
        <v>136</v>
      </c>
      <c r="B137" t="s">
        <v>108</v>
      </c>
      <c r="C137" t="s">
        <v>162</v>
      </c>
      <c r="D137" s="2" t="s">
        <v>217</v>
      </c>
      <c r="E137" s="12">
        <v>45826</v>
      </c>
      <c r="F137" s="12">
        <v>45835</v>
      </c>
      <c r="G137" s="12" t="s">
        <v>366</v>
      </c>
      <c r="H137" s="15">
        <v>504</v>
      </c>
      <c r="I137">
        <v>154</v>
      </c>
      <c r="J137">
        <v>92</v>
      </c>
      <c r="K137" s="15">
        <v>98</v>
      </c>
      <c r="L137" s="13">
        <v>9</v>
      </c>
      <c r="M137" s="15">
        <v>44.21</v>
      </c>
      <c r="N137" s="7">
        <v>1.07</v>
      </c>
    </row>
    <row r="138" spans="1:14" x14ac:dyDescent="0.35">
      <c r="A138">
        <v>137</v>
      </c>
      <c r="B138" t="s">
        <v>109</v>
      </c>
      <c r="C138" t="s">
        <v>166</v>
      </c>
      <c r="D138" s="2" t="s">
        <v>218</v>
      </c>
      <c r="E138" s="12">
        <v>45828</v>
      </c>
      <c r="F138" s="12">
        <v>45838</v>
      </c>
      <c r="G138" s="12" t="s">
        <v>367</v>
      </c>
      <c r="H138" s="15">
        <v>84</v>
      </c>
      <c r="I138">
        <v>743</v>
      </c>
      <c r="J138">
        <v>92</v>
      </c>
      <c r="K138" s="15">
        <v>152</v>
      </c>
      <c r="L138" s="13">
        <v>10</v>
      </c>
      <c r="M138" s="15">
        <v>25.26</v>
      </c>
      <c r="N138" s="7">
        <v>1.65</v>
      </c>
    </row>
    <row r="139" spans="1:14" x14ac:dyDescent="0.35">
      <c r="A139">
        <v>138</v>
      </c>
      <c r="B139" t="s">
        <v>110</v>
      </c>
      <c r="C139" t="s">
        <v>167</v>
      </c>
      <c r="D139" s="2" t="s">
        <v>219</v>
      </c>
      <c r="E139" s="12">
        <v>45823</v>
      </c>
      <c r="F139" s="12">
        <v>45829</v>
      </c>
      <c r="G139" s="12" t="s">
        <v>368</v>
      </c>
      <c r="H139" s="15">
        <v>87</v>
      </c>
      <c r="I139">
        <v>849</v>
      </c>
      <c r="J139">
        <v>92</v>
      </c>
      <c r="K139" s="15">
        <v>97</v>
      </c>
      <c r="L139" s="13">
        <v>6</v>
      </c>
      <c r="M139" s="15">
        <v>22.43</v>
      </c>
      <c r="N139" s="7">
        <v>1.05</v>
      </c>
    </row>
    <row r="140" spans="1:14" x14ac:dyDescent="0.35">
      <c r="A140">
        <v>139</v>
      </c>
      <c r="B140" t="s">
        <v>111</v>
      </c>
      <c r="C140" t="s">
        <v>167</v>
      </c>
      <c r="D140" s="2" t="s">
        <v>220</v>
      </c>
      <c r="E140" s="12">
        <v>45830</v>
      </c>
      <c r="F140" s="12">
        <v>45837</v>
      </c>
      <c r="G140" s="12" t="s">
        <v>369</v>
      </c>
      <c r="H140" s="15">
        <v>192</v>
      </c>
      <c r="I140">
        <v>111</v>
      </c>
      <c r="J140">
        <v>92</v>
      </c>
      <c r="K140" s="15">
        <v>116</v>
      </c>
      <c r="L140" s="13">
        <v>7</v>
      </c>
      <c r="M140" s="15">
        <v>32.32</v>
      </c>
      <c r="N140" s="7">
        <v>1.26</v>
      </c>
    </row>
    <row r="141" spans="1:14" x14ac:dyDescent="0.35">
      <c r="A141">
        <v>140</v>
      </c>
      <c r="B141" t="s">
        <v>112</v>
      </c>
      <c r="C141" t="s">
        <v>181</v>
      </c>
      <c r="D141" s="2" t="s">
        <v>221</v>
      </c>
      <c r="E141" s="12">
        <v>45825</v>
      </c>
      <c r="F141" s="12">
        <v>45835</v>
      </c>
      <c r="G141" s="12" t="s">
        <v>370</v>
      </c>
      <c r="H141" s="15">
        <v>398</v>
      </c>
      <c r="I141">
        <v>51</v>
      </c>
      <c r="J141">
        <v>92</v>
      </c>
      <c r="K141" s="15">
        <v>114</v>
      </c>
      <c r="L141" s="13">
        <v>10</v>
      </c>
      <c r="M141" s="15">
        <v>34.270000000000003</v>
      </c>
      <c r="N141" s="7">
        <v>1.24</v>
      </c>
    </row>
    <row r="142" spans="1:14" x14ac:dyDescent="0.35">
      <c r="A142">
        <v>141</v>
      </c>
      <c r="B142" t="s">
        <v>113</v>
      </c>
      <c r="C142" t="s">
        <v>172</v>
      </c>
      <c r="D142" s="2" t="s">
        <v>222</v>
      </c>
      <c r="E142" s="12">
        <v>45800</v>
      </c>
      <c r="F142" s="12">
        <v>45805</v>
      </c>
      <c r="G142" s="12" t="s">
        <v>371</v>
      </c>
      <c r="H142" s="15">
        <v>151</v>
      </c>
      <c r="I142">
        <v>228</v>
      </c>
      <c r="J142">
        <v>92</v>
      </c>
      <c r="K142" s="15">
        <v>140</v>
      </c>
      <c r="L142" s="13">
        <v>5</v>
      </c>
      <c r="M142" s="15">
        <v>20.58</v>
      </c>
      <c r="N142" s="7">
        <v>1.52</v>
      </c>
    </row>
    <row r="143" spans="1:14" x14ac:dyDescent="0.35">
      <c r="A143">
        <v>142</v>
      </c>
      <c r="B143" t="s">
        <v>114</v>
      </c>
      <c r="C143" t="s">
        <v>171</v>
      </c>
      <c r="D143" s="2" t="s">
        <v>224</v>
      </c>
      <c r="E143" s="12">
        <v>45842</v>
      </c>
      <c r="F143" s="12">
        <v>45851</v>
      </c>
      <c r="G143" s="12" t="s">
        <v>372</v>
      </c>
      <c r="H143" s="15">
        <v>637</v>
      </c>
      <c r="I143">
        <v>114</v>
      </c>
      <c r="J143">
        <v>92</v>
      </c>
      <c r="K143" s="15">
        <v>134</v>
      </c>
      <c r="L143" s="13">
        <v>9</v>
      </c>
      <c r="M143" s="15">
        <v>29.86</v>
      </c>
      <c r="N143" s="7">
        <v>1.46</v>
      </c>
    </row>
    <row r="144" spans="1:14" x14ac:dyDescent="0.35">
      <c r="A144">
        <v>143</v>
      </c>
      <c r="B144" t="s">
        <v>115</v>
      </c>
      <c r="C144" t="s">
        <v>165</v>
      </c>
      <c r="D144" s="2" t="s">
        <v>223</v>
      </c>
      <c r="E144" s="12">
        <v>45838</v>
      </c>
      <c r="F144" s="12">
        <v>45848</v>
      </c>
      <c r="G144" s="12" t="s">
        <v>373</v>
      </c>
      <c r="H144" s="15">
        <v>36</v>
      </c>
      <c r="I144">
        <v>111</v>
      </c>
      <c r="J144">
        <v>92</v>
      </c>
      <c r="K144" s="15">
        <v>174</v>
      </c>
      <c r="L144" s="13">
        <v>10</v>
      </c>
      <c r="M144" s="15">
        <v>29.84</v>
      </c>
      <c r="N144" s="7">
        <v>1.89</v>
      </c>
    </row>
    <row r="145" spans="1:14" x14ac:dyDescent="0.35">
      <c r="A145">
        <v>144</v>
      </c>
      <c r="B145" t="s">
        <v>116</v>
      </c>
      <c r="C145" t="s">
        <v>162</v>
      </c>
      <c r="D145" s="2" t="s">
        <v>212</v>
      </c>
      <c r="E145" s="12">
        <v>45789</v>
      </c>
      <c r="F145" s="12">
        <v>45799</v>
      </c>
      <c r="G145" s="12" t="s">
        <v>374</v>
      </c>
      <c r="H145" s="15">
        <v>82</v>
      </c>
      <c r="I145">
        <v>228</v>
      </c>
      <c r="J145">
        <v>92</v>
      </c>
      <c r="K145" s="15">
        <v>114</v>
      </c>
      <c r="L145" s="13">
        <v>10</v>
      </c>
      <c r="M145" s="15">
        <v>33.090000000000003</v>
      </c>
      <c r="N145" s="7">
        <v>1.24</v>
      </c>
    </row>
    <row r="146" spans="1:14" x14ac:dyDescent="0.35">
      <c r="A146">
        <v>145</v>
      </c>
      <c r="B146" t="s">
        <v>117</v>
      </c>
      <c r="C146" t="s">
        <v>169</v>
      </c>
      <c r="D146" s="2" t="s">
        <v>213</v>
      </c>
      <c r="E146" s="12">
        <v>45783</v>
      </c>
      <c r="F146" s="12">
        <v>45789</v>
      </c>
      <c r="G146" s="12" t="s">
        <v>375</v>
      </c>
      <c r="H146" s="15">
        <v>361</v>
      </c>
      <c r="I146">
        <v>143</v>
      </c>
      <c r="J146">
        <v>92</v>
      </c>
      <c r="K146" s="15">
        <v>116</v>
      </c>
      <c r="L146" s="13">
        <v>6</v>
      </c>
      <c r="M146" s="15">
        <v>39.24</v>
      </c>
      <c r="N146" s="7">
        <v>1.26</v>
      </c>
    </row>
    <row r="147" spans="1:14" x14ac:dyDescent="0.35">
      <c r="A147">
        <v>146</v>
      </c>
      <c r="B147" t="s">
        <v>118</v>
      </c>
      <c r="C147" t="s">
        <v>166</v>
      </c>
      <c r="D147" s="2" t="s">
        <v>214</v>
      </c>
      <c r="E147" s="12">
        <v>45806</v>
      </c>
      <c r="F147" s="12">
        <v>45813</v>
      </c>
      <c r="G147" s="12" t="s">
        <v>376</v>
      </c>
      <c r="H147" s="15">
        <v>18</v>
      </c>
      <c r="I147">
        <v>208</v>
      </c>
      <c r="J147">
        <v>92</v>
      </c>
      <c r="K147" s="15">
        <v>188</v>
      </c>
      <c r="L147" s="13">
        <v>7</v>
      </c>
      <c r="M147" s="15">
        <v>43.35</v>
      </c>
      <c r="N147" s="7">
        <v>2.04</v>
      </c>
    </row>
    <row r="148" spans="1:14" x14ac:dyDescent="0.35">
      <c r="A148">
        <v>147</v>
      </c>
      <c r="B148" t="s">
        <v>119</v>
      </c>
      <c r="C148" t="s">
        <v>172</v>
      </c>
      <c r="D148" s="2" t="s">
        <v>215</v>
      </c>
      <c r="E148" s="12">
        <v>45851</v>
      </c>
      <c r="F148" s="12">
        <v>45861</v>
      </c>
      <c r="G148" s="12" t="s">
        <v>377</v>
      </c>
      <c r="H148" s="15">
        <v>128</v>
      </c>
      <c r="I148">
        <v>253</v>
      </c>
      <c r="J148">
        <v>92</v>
      </c>
      <c r="K148" s="15">
        <v>97</v>
      </c>
      <c r="L148" s="13">
        <v>10</v>
      </c>
      <c r="M148" s="15">
        <v>39.270000000000003</v>
      </c>
      <c r="N148" s="7">
        <v>1.05</v>
      </c>
    </row>
    <row r="149" spans="1:14" x14ac:dyDescent="0.35">
      <c r="A149">
        <v>148</v>
      </c>
      <c r="B149" t="s">
        <v>120</v>
      </c>
      <c r="C149" t="s">
        <v>173</v>
      </c>
      <c r="D149" s="2" t="s">
        <v>216</v>
      </c>
      <c r="E149" s="12">
        <v>45837</v>
      </c>
      <c r="F149" s="12">
        <v>45842</v>
      </c>
      <c r="G149" s="12" t="s">
        <v>378</v>
      </c>
      <c r="H149" s="15">
        <v>258</v>
      </c>
      <c r="I149">
        <v>144</v>
      </c>
      <c r="J149">
        <v>92</v>
      </c>
      <c r="K149" s="15">
        <v>180</v>
      </c>
      <c r="L149" s="13">
        <v>5</v>
      </c>
      <c r="M149" s="15">
        <v>37.06</v>
      </c>
      <c r="N149" s="7">
        <v>1.96</v>
      </c>
    </row>
    <row r="150" spans="1:14" x14ac:dyDescent="0.35">
      <c r="A150">
        <v>149</v>
      </c>
      <c r="B150" t="s">
        <v>121</v>
      </c>
      <c r="C150" t="s">
        <v>167</v>
      </c>
      <c r="D150" s="2" t="s">
        <v>217</v>
      </c>
      <c r="E150" s="12">
        <v>45789</v>
      </c>
      <c r="F150" s="12">
        <v>45797</v>
      </c>
      <c r="G150" s="12" t="s">
        <v>379</v>
      </c>
      <c r="H150" s="15">
        <v>104</v>
      </c>
      <c r="I150">
        <v>547</v>
      </c>
      <c r="J150">
        <v>92</v>
      </c>
      <c r="K150" s="15">
        <v>122</v>
      </c>
      <c r="L150" s="13">
        <v>8</v>
      </c>
      <c r="M150" s="15">
        <v>34.31</v>
      </c>
      <c r="N150" s="7">
        <v>1.33</v>
      </c>
    </row>
    <row r="151" spans="1:14" x14ac:dyDescent="0.35">
      <c r="A151">
        <v>150</v>
      </c>
      <c r="B151" t="s">
        <v>122</v>
      </c>
      <c r="C151" t="s">
        <v>171</v>
      </c>
      <c r="D151" s="2" t="s">
        <v>218</v>
      </c>
      <c r="E151" s="12">
        <v>45825</v>
      </c>
      <c r="F151" s="12">
        <v>45835</v>
      </c>
      <c r="G151" s="12" t="s">
        <v>380</v>
      </c>
      <c r="H151" s="15">
        <v>57</v>
      </c>
      <c r="I151">
        <v>164</v>
      </c>
      <c r="J151">
        <v>92</v>
      </c>
      <c r="K151" s="15">
        <v>140</v>
      </c>
      <c r="L151" s="13">
        <v>10</v>
      </c>
      <c r="M151" s="15">
        <v>31.98</v>
      </c>
      <c r="N151" s="7">
        <v>1.52</v>
      </c>
    </row>
    <row r="152" spans="1:14" x14ac:dyDescent="0.35">
      <c r="A152">
        <v>151</v>
      </c>
      <c r="B152" t="s">
        <v>123</v>
      </c>
      <c r="C152" t="s">
        <v>172</v>
      </c>
      <c r="D152" s="2" t="s">
        <v>219</v>
      </c>
      <c r="E152" s="12">
        <v>45839</v>
      </c>
      <c r="F152" s="12">
        <v>45849</v>
      </c>
      <c r="G152" s="12" t="s">
        <v>381</v>
      </c>
      <c r="H152" s="15">
        <v>207</v>
      </c>
      <c r="I152">
        <v>190</v>
      </c>
      <c r="J152">
        <v>92</v>
      </c>
      <c r="K152" s="15">
        <v>160</v>
      </c>
      <c r="L152" s="13">
        <v>10</v>
      </c>
      <c r="M152" s="18">
        <v>27.6</v>
      </c>
      <c r="N152" s="7">
        <v>1.74</v>
      </c>
    </row>
    <row r="153" spans="1:14" x14ac:dyDescent="0.35">
      <c r="A153">
        <v>152</v>
      </c>
      <c r="B153" t="s">
        <v>124</v>
      </c>
      <c r="C153" t="s">
        <v>165</v>
      </c>
      <c r="D153" s="2" t="s">
        <v>220</v>
      </c>
      <c r="E153" s="12">
        <v>45785</v>
      </c>
      <c r="F153" s="12">
        <v>45794</v>
      </c>
      <c r="G153" s="12" t="s">
        <v>382</v>
      </c>
      <c r="H153" s="15">
        <v>89</v>
      </c>
      <c r="I153">
        <v>664</v>
      </c>
      <c r="J153">
        <v>92</v>
      </c>
      <c r="K153" s="15">
        <v>156</v>
      </c>
      <c r="L153" s="13">
        <v>9</v>
      </c>
      <c r="M153" s="15">
        <v>26.19</v>
      </c>
      <c r="N153" s="7">
        <v>1.7</v>
      </c>
    </row>
    <row r="154" spans="1:14" x14ac:dyDescent="0.35">
      <c r="A154">
        <v>153</v>
      </c>
      <c r="B154" t="s">
        <v>125</v>
      </c>
      <c r="C154" t="s">
        <v>169</v>
      </c>
      <c r="D154" s="2" t="s">
        <v>221</v>
      </c>
      <c r="E154" s="12">
        <v>45808</v>
      </c>
      <c r="F154" s="12">
        <v>45814</v>
      </c>
      <c r="G154" s="12" t="s">
        <v>383</v>
      </c>
      <c r="H154" s="15">
        <v>105</v>
      </c>
      <c r="I154">
        <v>787</v>
      </c>
      <c r="J154">
        <v>92</v>
      </c>
      <c r="K154" s="15">
        <v>98</v>
      </c>
      <c r="L154" s="13">
        <v>6</v>
      </c>
      <c r="M154" s="15">
        <v>23.96</v>
      </c>
      <c r="N154" s="7">
        <v>1.07</v>
      </c>
    </row>
    <row r="155" spans="1:14" x14ac:dyDescent="0.35">
      <c r="A155">
        <v>154</v>
      </c>
      <c r="B155" t="s">
        <v>126</v>
      </c>
      <c r="C155" t="s">
        <v>180</v>
      </c>
      <c r="D155" s="2" t="s">
        <v>222</v>
      </c>
      <c r="E155" s="12">
        <v>45809</v>
      </c>
      <c r="F155" s="12">
        <v>45814</v>
      </c>
      <c r="G155" s="12" t="s">
        <v>384</v>
      </c>
      <c r="H155" s="15">
        <v>117</v>
      </c>
      <c r="I155">
        <v>158</v>
      </c>
      <c r="J155">
        <v>92</v>
      </c>
      <c r="K155" s="15">
        <v>94</v>
      </c>
      <c r="L155" s="13">
        <v>5</v>
      </c>
      <c r="M155" s="15">
        <v>33.19</v>
      </c>
      <c r="N155" s="7">
        <v>1.02</v>
      </c>
    </row>
    <row r="156" spans="1:14" x14ac:dyDescent="0.35">
      <c r="A156">
        <v>155</v>
      </c>
      <c r="B156" t="s">
        <v>127</v>
      </c>
      <c r="C156" t="s">
        <v>171</v>
      </c>
      <c r="D156" s="2" t="s">
        <v>224</v>
      </c>
      <c r="E156" s="12">
        <v>45794</v>
      </c>
      <c r="F156" s="12">
        <v>45802</v>
      </c>
      <c r="G156" s="12" t="s">
        <v>385</v>
      </c>
      <c r="H156" s="15">
        <v>443</v>
      </c>
      <c r="I156">
        <v>117</v>
      </c>
      <c r="J156">
        <v>92</v>
      </c>
      <c r="K156" s="15">
        <v>140</v>
      </c>
      <c r="L156" s="13">
        <v>8</v>
      </c>
      <c r="M156" s="15">
        <v>25.95</v>
      </c>
      <c r="N156" s="7">
        <v>1.52</v>
      </c>
    </row>
    <row r="157" spans="1:14" x14ac:dyDescent="0.35">
      <c r="A157">
        <v>156</v>
      </c>
      <c r="B157" t="s">
        <v>128</v>
      </c>
      <c r="C157" t="s">
        <v>166</v>
      </c>
      <c r="D157" s="2" t="s">
        <v>223</v>
      </c>
      <c r="E157" s="12">
        <v>45783</v>
      </c>
      <c r="F157" s="12">
        <v>45789</v>
      </c>
      <c r="G157" s="12" t="s">
        <v>386</v>
      </c>
      <c r="H157" s="15">
        <v>92</v>
      </c>
      <c r="I157">
        <v>633</v>
      </c>
      <c r="J157">
        <v>92</v>
      </c>
      <c r="K157" s="15">
        <v>118</v>
      </c>
      <c r="L157" s="13">
        <v>6</v>
      </c>
      <c r="M157" s="15">
        <v>27.91</v>
      </c>
      <c r="N157" s="7">
        <v>1.28</v>
      </c>
    </row>
    <row r="158" spans="1:14" x14ac:dyDescent="0.35">
      <c r="A158">
        <v>157</v>
      </c>
      <c r="B158" t="s">
        <v>129</v>
      </c>
      <c r="C158" t="s">
        <v>162</v>
      </c>
      <c r="D158" s="2" t="s">
        <v>212</v>
      </c>
      <c r="E158" s="12">
        <v>45788</v>
      </c>
      <c r="F158" s="12">
        <v>45795</v>
      </c>
      <c r="G158" s="12" t="s">
        <v>387</v>
      </c>
      <c r="H158" s="15">
        <v>127</v>
      </c>
      <c r="I158">
        <v>387</v>
      </c>
      <c r="J158">
        <v>92</v>
      </c>
      <c r="K158" s="15">
        <v>174</v>
      </c>
      <c r="L158" s="13">
        <v>7</v>
      </c>
      <c r="M158" s="15">
        <v>30.19</v>
      </c>
      <c r="N158" s="7">
        <v>1.89</v>
      </c>
    </row>
    <row r="159" spans="1:14" x14ac:dyDescent="0.35">
      <c r="A159">
        <v>158</v>
      </c>
      <c r="B159" t="s">
        <v>130</v>
      </c>
      <c r="C159" t="s">
        <v>173</v>
      </c>
      <c r="D159" s="2" t="s">
        <v>213</v>
      </c>
      <c r="E159" s="12">
        <v>45833</v>
      </c>
      <c r="F159" s="12">
        <v>45843</v>
      </c>
      <c r="G159" s="12" t="s">
        <v>388</v>
      </c>
      <c r="H159" s="15">
        <v>68</v>
      </c>
      <c r="I159">
        <v>280</v>
      </c>
      <c r="J159">
        <v>92</v>
      </c>
      <c r="K159" s="15">
        <v>96</v>
      </c>
      <c r="L159" s="13">
        <v>10</v>
      </c>
      <c r="M159" s="15">
        <v>22.34</v>
      </c>
      <c r="N159" s="7">
        <v>1.04</v>
      </c>
    </row>
    <row r="160" spans="1:14" x14ac:dyDescent="0.35">
      <c r="A160">
        <v>159</v>
      </c>
      <c r="B160" t="s">
        <v>131</v>
      </c>
      <c r="C160" t="s">
        <v>176</v>
      </c>
      <c r="D160" s="2" t="s">
        <v>214</v>
      </c>
      <c r="E160" s="12">
        <v>45802</v>
      </c>
      <c r="F160" s="12">
        <v>45810</v>
      </c>
      <c r="G160" s="12" t="s">
        <v>389</v>
      </c>
      <c r="H160" s="15">
        <v>421</v>
      </c>
      <c r="I160">
        <v>139</v>
      </c>
      <c r="J160">
        <v>92</v>
      </c>
      <c r="K160" s="15">
        <v>112</v>
      </c>
      <c r="L160" s="13">
        <v>8</v>
      </c>
      <c r="M160" s="15">
        <v>40.369999999999997</v>
      </c>
      <c r="N160" s="7">
        <v>1.22</v>
      </c>
    </row>
    <row r="161" spans="1:14" x14ac:dyDescent="0.35">
      <c r="A161">
        <v>160</v>
      </c>
      <c r="B161" t="s">
        <v>132</v>
      </c>
      <c r="C161" t="s">
        <v>162</v>
      </c>
      <c r="D161" s="2" t="s">
        <v>215</v>
      </c>
      <c r="E161" s="12">
        <v>45808</v>
      </c>
      <c r="F161" s="12">
        <v>45814</v>
      </c>
      <c r="G161" s="12" t="s">
        <v>390</v>
      </c>
      <c r="H161" s="15">
        <v>119</v>
      </c>
      <c r="I161">
        <v>603</v>
      </c>
      <c r="J161">
        <v>92</v>
      </c>
      <c r="K161" s="15">
        <v>134</v>
      </c>
      <c r="L161" s="13">
        <v>6</v>
      </c>
      <c r="M161" s="15">
        <v>33.409999999999997</v>
      </c>
      <c r="N161" s="7">
        <v>1.46</v>
      </c>
    </row>
    <row r="162" spans="1:14" x14ac:dyDescent="0.35">
      <c r="A162">
        <v>161</v>
      </c>
      <c r="B162" t="s">
        <v>133</v>
      </c>
      <c r="C162" t="s">
        <v>172</v>
      </c>
      <c r="D162" s="2" t="s">
        <v>216</v>
      </c>
      <c r="E162" s="12">
        <v>45796</v>
      </c>
      <c r="F162" s="12">
        <v>45806</v>
      </c>
      <c r="G162" s="12" t="s">
        <v>391</v>
      </c>
      <c r="H162" s="15">
        <v>83</v>
      </c>
      <c r="I162">
        <v>288</v>
      </c>
      <c r="J162">
        <v>92</v>
      </c>
      <c r="K162" s="15">
        <v>150</v>
      </c>
      <c r="L162" s="13">
        <v>10</v>
      </c>
      <c r="M162" s="15">
        <v>26.51</v>
      </c>
      <c r="N162" s="7">
        <v>1.63</v>
      </c>
    </row>
    <row r="163" spans="1:14" x14ac:dyDescent="0.35">
      <c r="A163">
        <v>162</v>
      </c>
      <c r="B163" t="s">
        <v>134</v>
      </c>
      <c r="C163" t="s">
        <v>178</v>
      </c>
      <c r="D163" s="2" t="s">
        <v>217</v>
      </c>
      <c r="E163" s="12">
        <v>45803</v>
      </c>
      <c r="F163" s="12">
        <v>45812</v>
      </c>
      <c r="G163" s="12" t="s">
        <v>392</v>
      </c>
      <c r="H163" s="15">
        <v>69</v>
      </c>
      <c r="I163">
        <v>249</v>
      </c>
      <c r="J163">
        <v>92</v>
      </c>
      <c r="K163" s="15">
        <v>180</v>
      </c>
      <c r="L163" s="13">
        <v>9</v>
      </c>
      <c r="M163" s="15">
        <v>25.49</v>
      </c>
      <c r="N163" s="7">
        <v>1.96</v>
      </c>
    </row>
    <row r="164" spans="1:14" x14ac:dyDescent="0.35">
      <c r="A164">
        <v>163</v>
      </c>
      <c r="B164" t="s">
        <v>135</v>
      </c>
      <c r="C164" t="s">
        <v>179</v>
      </c>
      <c r="D164" s="2" t="s">
        <v>218</v>
      </c>
      <c r="E164" s="12">
        <v>45783</v>
      </c>
      <c r="F164" s="12">
        <v>45790</v>
      </c>
      <c r="G164" s="12" t="s">
        <v>393</v>
      </c>
      <c r="H164" s="15">
        <v>48</v>
      </c>
      <c r="I164">
        <v>304</v>
      </c>
      <c r="J164">
        <v>92</v>
      </c>
      <c r="K164" s="15">
        <v>176</v>
      </c>
      <c r="L164" s="13">
        <v>7</v>
      </c>
      <c r="M164" s="15">
        <v>44.79</v>
      </c>
      <c r="N164" s="7">
        <v>1.91</v>
      </c>
    </row>
    <row r="165" spans="1:14" x14ac:dyDescent="0.35">
      <c r="A165">
        <v>164</v>
      </c>
      <c r="B165" t="s">
        <v>136</v>
      </c>
      <c r="C165" t="s">
        <v>164</v>
      </c>
      <c r="D165" s="2" t="s">
        <v>219</v>
      </c>
      <c r="E165" s="12">
        <v>45800</v>
      </c>
      <c r="F165" s="12">
        <v>45808</v>
      </c>
      <c r="G165" s="12" t="s">
        <v>394</v>
      </c>
      <c r="H165" s="15">
        <v>143</v>
      </c>
      <c r="I165">
        <v>416</v>
      </c>
      <c r="J165">
        <v>92</v>
      </c>
      <c r="K165" s="15">
        <v>180</v>
      </c>
      <c r="L165" s="13">
        <v>8</v>
      </c>
      <c r="M165" s="15">
        <v>31.63</v>
      </c>
      <c r="N165" s="7">
        <v>1.96</v>
      </c>
    </row>
    <row r="166" spans="1:14" x14ac:dyDescent="0.35">
      <c r="A166">
        <v>165</v>
      </c>
      <c r="B166" t="s">
        <v>137</v>
      </c>
      <c r="C166" t="s">
        <v>167</v>
      </c>
      <c r="D166" s="2" t="s">
        <v>220</v>
      </c>
      <c r="E166" s="12">
        <v>45817</v>
      </c>
      <c r="F166" s="12">
        <v>45823</v>
      </c>
      <c r="G166" s="12" t="s">
        <v>395</v>
      </c>
      <c r="H166" s="15">
        <v>591</v>
      </c>
      <c r="I166">
        <v>141</v>
      </c>
      <c r="J166">
        <v>92</v>
      </c>
      <c r="K166" s="15">
        <v>106</v>
      </c>
      <c r="L166" s="13">
        <v>6</v>
      </c>
      <c r="M166" s="15">
        <v>25.45</v>
      </c>
      <c r="N166" s="7">
        <v>1.1499999999999999</v>
      </c>
    </row>
    <row r="167" spans="1:14" x14ac:dyDescent="0.35">
      <c r="A167">
        <v>166</v>
      </c>
      <c r="B167" t="s">
        <v>138</v>
      </c>
      <c r="C167" t="s">
        <v>166</v>
      </c>
      <c r="D167" s="2" t="s">
        <v>221</v>
      </c>
      <c r="E167" s="12">
        <v>45852</v>
      </c>
      <c r="F167" s="12">
        <v>45857</v>
      </c>
      <c r="G167" s="12" t="s">
        <v>396</v>
      </c>
      <c r="H167" s="15">
        <v>68</v>
      </c>
      <c r="I167">
        <v>214</v>
      </c>
      <c r="J167">
        <v>92</v>
      </c>
      <c r="K167" s="15">
        <v>158</v>
      </c>
      <c r="L167" s="13">
        <v>5</v>
      </c>
      <c r="M167" s="15">
        <v>29.23</v>
      </c>
      <c r="N167" s="7">
        <v>1.72</v>
      </c>
    </row>
    <row r="168" spans="1:14" x14ac:dyDescent="0.35">
      <c r="A168">
        <v>167</v>
      </c>
      <c r="B168" t="s">
        <v>139</v>
      </c>
      <c r="C168" t="s">
        <v>166</v>
      </c>
      <c r="D168" s="2" t="s">
        <v>222</v>
      </c>
      <c r="E168" s="12">
        <v>45828</v>
      </c>
      <c r="F168" s="12">
        <v>45837</v>
      </c>
      <c r="G168" s="12" t="s">
        <v>397</v>
      </c>
      <c r="H168" s="15">
        <v>96</v>
      </c>
      <c r="I168">
        <v>374</v>
      </c>
      <c r="J168">
        <v>92</v>
      </c>
      <c r="K168" s="15">
        <v>168</v>
      </c>
      <c r="L168" s="13">
        <v>9</v>
      </c>
      <c r="M168" s="15">
        <v>23.61</v>
      </c>
      <c r="N168" s="7">
        <v>1.83</v>
      </c>
    </row>
    <row r="169" spans="1:14" x14ac:dyDescent="0.35">
      <c r="A169">
        <v>168</v>
      </c>
      <c r="B169" t="s">
        <v>140</v>
      </c>
      <c r="C169" t="s">
        <v>171</v>
      </c>
      <c r="D169" s="2" t="s">
        <v>224</v>
      </c>
      <c r="E169" s="12">
        <v>45807</v>
      </c>
      <c r="F169" s="12">
        <v>45816</v>
      </c>
      <c r="G169" s="12" t="s">
        <v>398</v>
      </c>
      <c r="H169" s="15">
        <v>1417</v>
      </c>
      <c r="I169">
        <v>53</v>
      </c>
      <c r="J169">
        <v>92</v>
      </c>
      <c r="K169" s="15">
        <v>174</v>
      </c>
      <c r="L169" s="13">
        <v>9</v>
      </c>
      <c r="M169" s="18">
        <v>43.4</v>
      </c>
      <c r="N169" s="7">
        <v>1.89</v>
      </c>
    </row>
    <row r="170" spans="1:14" x14ac:dyDescent="0.35">
      <c r="A170">
        <v>169</v>
      </c>
      <c r="B170" t="s">
        <v>141</v>
      </c>
      <c r="C170" t="s">
        <v>164</v>
      </c>
      <c r="D170" s="2" t="s">
        <v>223</v>
      </c>
      <c r="E170" s="12">
        <v>45794</v>
      </c>
      <c r="F170" s="12">
        <v>45804</v>
      </c>
      <c r="G170" s="12" t="s">
        <v>399</v>
      </c>
      <c r="H170" s="15">
        <v>80</v>
      </c>
      <c r="I170">
        <v>163</v>
      </c>
      <c r="J170">
        <v>92</v>
      </c>
      <c r="K170" s="15">
        <v>134</v>
      </c>
      <c r="L170" s="13">
        <v>10</v>
      </c>
      <c r="M170" s="15">
        <v>39.51</v>
      </c>
      <c r="N170" s="7">
        <v>1.46</v>
      </c>
    </row>
    <row r="171" spans="1:14" x14ac:dyDescent="0.35">
      <c r="A171">
        <v>170</v>
      </c>
      <c r="B171" t="s">
        <v>142</v>
      </c>
      <c r="C171" t="s">
        <v>174</v>
      </c>
      <c r="D171" s="2" t="s">
        <v>212</v>
      </c>
      <c r="E171" s="12">
        <v>45833</v>
      </c>
      <c r="F171" s="12">
        <v>45842</v>
      </c>
      <c r="G171" s="12" t="s">
        <v>400</v>
      </c>
      <c r="H171" s="15">
        <v>83</v>
      </c>
      <c r="I171">
        <v>303</v>
      </c>
      <c r="J171">
        <v>92</v>
      </c>
      <c r="K171" s="15">
        <v>108</v>
      </c>
      <c r="L171" s="13">
        <v>9</v>
      </c>
      <c r="M171" s="18">
        <v>25.2</v>
      </c>
      <c r="N171" s="7">
        <v>1.17</v>
      </c>
    </row>
    <row r="172" spans="1:14" x14ac:dyDescent="0.35">
      <c r="A172">
        <v>171</v>
      </c>
      <c r="B172" t="s">
        <v>143</v>
      </c>
      <c r="C172" t="s">
        <v>173</v>
      </c>
      <c r="D172" s="2" t="s">
        <v>213</v>
      </c>
      <c r="E172" s="12">
        <v>45794</v>
      </c>
      <c r="F172" s="12">
        <v>45801</v>
      </c>
      <c r="G172" s="12" t="s">
        <v>401</v>
      </c>
      <c r="H172" s="15">
        <v>329</v>
      </c>
      <c r="I172">
        <v>184</v>
      </c>
      <c r="J172">
        <v>92</v>
      </c>
      <c r="K172" s="15">
        <v>170</v>
      </c>
      <c r="L172" s="13">
        <v>7</v>
      </c>
      <c r="M172" s="18">
        <v>39</v>
      </c>
      <c r="N172" s="7">
        <v>1.85</v>
      </c>
    </row>
    <row r="173" spans="1:14" x14ac:dyDescent="0.35">
      <c r="A173">
        <v>172</v>
      </c>
      <c r="B173" t="s">
        <v>144</v>
      </c>
      <c r="C173" t="s">
        <v>179</v>
      </c>
      <c r="D173" s="2" t="s">
        <v>214</v>
      </c>
      <c r="E173" s="12">
        <v>45786</v>
      </c>
      <c r="F173" s="12">
        <v>45792</v>
      </c>
      <c r="G173" s="12" t="s">
        <v>402</v>
      </c>
      <c r="H173" s="15">
        <v>141</v>
      </c>
      <c r="I173">
        <v>182</v>
      </c>
      <c r="J173">
        <v>92</v>
      </c>
      <c r="K173" s="15">
        <v>110</v>
      </c>
      <c r="L173" s="13">
        <v>6</v>
      </c>
      <c r="M173" s="15">
        <v>20.73</v>
      </c>
      <c r="N173" s="7">
        <v>1.2</v>
      </c>
    </row>
    <row r="174" spans="1:14" x14ac:dyDescent="0.35">
      <c r="A174">
        <v>173</v>
      </c>
      <c r="B174" t="s">
        <v>145</v>
      </c>
      <c r="C174" t="s">
        <v>173</v>
      </c>
      <c r="D174" s="2" t="s">
        <v>215</v>
      </c>
      <c r="E174" s="12">
        <v>45825</v>
      </c>
      <c r="F174" s="12">
        <v>45835</v>
      </c>
      <c r="G174" s="12" t="s">
        <v>403</v>
      </c>
      <c r="H174" s="15">
        <v>95</v>
      </c>
      <c r="I174">
        <v>616</v>
      </c>
      <c r="J174">
        <v>92</v>
      </c>
      <c r="K174" s="15">
        <v>98</v>
      </c>
      <c r="L174" s="13">
        <v>10</v>
      </c>
      <c r="M174" s="15">
        <v>29.12</v>
      </c>
      <c r="N174" s="7">
        <v>1.07</v>
      </c>
    </row>
    <row r="175" spans="1:14" x14ac:dyDescent="0.35">
      <c r="A175">
        <v>174</v>
      </c>
      <c r="B175" t="s">
        <v>146</v>
      </c>
      <c r="C175" t="s">
        <v>177</v>
      </c>
      <c r="D175" s="2" t="s">
        <v>216</v>
      </c>
      <c r="E175" s="12">
        <v>45833</v>
      </c>
      <c r="F175" s="12">
        <v>45842</v>
      </c>
      <c r="G175" s="12" t="s">
        <v>404</v>
      </c>
      <c r="H175" s="15">
        <v>79</v>
      </c>
      <c r="I175">
        <v>149</v>
      </c>
      <c r="J175">
        <v>92</v>
      </c>
      <c r="K175" s="15">
        <v>152</v>
      </c>
      <c r="L175" s="13">
        <v>9</v>
      </c>
      <c r="M175" s="15">
        <v>24.08</v>
      </c>
      <c r="N175" s="7">
        <v>1.65</v>
      </c>
    </row>
    <row r="176" spans="1:14" x14ac:dyDescent="0.35">
      <c r="A176">
        <v>175</v>
      </c>
      <c r="B176" t="s">
        <v>147</v>
      </c>
      <c r="C176" t="s">
        <v>162</v>
      </c>
      <c r="D176" s="2" t="s">
        <v>217</v>
      </c>
      <c r="E176" s="12">
        <v>45811</v>
      </c>
      <c r="F176" s="12">
        <v>45818</v>
      </c>
      <c r="G176" s="12" t="s">
        <v>405</v>
      </c>
      <c r="H176" s="15">
        <v>173</v>
      </c>
      <c r="I176">
        <v>260</v>
      </c>
      <c r="J176">
        <v>92</v>
      </c>
      <c r="K176" s="15">
        <v>95</v>
      </c>
      <c r="L176" s="13">
        <v>7</v>
      </c>
      <c r="M176" s="15">
        <v>25.83</v>
      </c>
      <c r="N176" s="7">
        <v>1.03</v>
      </c>
    </row>
    <row r="177" spans="1:14" x14ac:dyDescent="0.35">
      <c r="A177">
        <v>176</v>
      </c>
      <c r="B177" t="s">
        <v>148</v>
      </c>
      <c r="C177" t="s">
        <v>163</v>
      </c>
      <c r="D177" s="2" t="s">
        <v>218</v>
      </c>
      <c r="E177" s="12">
        <v>45825</v>
      </c>
      <c r="F177" s="12">
        <v>45832</v>
      </c>
      <c r="G177" s="12" t="s">
        <v>406</v>
      </c>
      <c r="H177" s="15">
        <v>367</v>
      </c>
      <c r="I177">
        <v>151</v>
      </c>
      <c r="J177">
        <v>92</v>
      </c>
      <c r="K177" s="15">
        <v>154</v>
      </c>
      <c r="L177" s="13">
        <v>7</v>
      </c>
      <c r="M177" s="15">
        <v>40.82</v>
      </c>
      <c r="N177" s="7">
        <v>1.67</v>
      </c>
    </row>
    <row r="178" spans="1:14" x14ac:dyDescent="0.35">
      <c r="A178">
        <v>177</v>
      </c>
      <c r="B178" t="s">
        <v>149</v>
      </c>
      <c r="C178" t="s">
        <v>167</v>
      </c>
      <c r="D178" s="2" t="s">
        <v>219</v>
      </c>
      <c r="E178" s="12">
        <v>45845</v>
      </c>
      <c r="F178" s="12">
        <v>45854</v>
      </c>
      <c r="G178" s="12" t="s">
        <v>407</v>
      </c>
      <c r="H178" s="15">
        <v>144</v>
      </c>
      <c r="I178">
        <v>284</v>
      </c>
      <c r="J178">
        <v>92</v>
      </c>
      <c r="K178" s="15">
        <v>124</v>
      </c>
      <c r="L178" s="13">
        <v>9</v>
      </c>
      <c r="M178" s="15">
        <v>30.45</v>
      </c>
      <c r="N178" s="7">
        <v>1.35</v>
      </c>
    </row>
    <row r="179" spans="1:14" x14ac:dyDescent="0.35">
      <c r="A179">
        <v>178</v>
      </c>
      <c r="B179" t="s">
        <v>150</v>
      </c>
      <c r="C179" t="s">
        <v>176</v>
      </c>
      <c r="D179" s="2" t="s">
        <v>220</v>
      </c>
      <c r="E179" s="12">
        <v>45833</v>
      </c>
      <c r="F179" s="12">
        <v>45838</v>
      </c>
      <c r="G179" s="12" t="s">
        <v>408</v>
      </c>
      <c r="H179" s="15">
        <v>173</v>
      </c>
      <c r="I179">
        <v>484</v>
      </c>
      <c r="J179">
        <v>92</v>
      </c>
      <c r="K179" s="15">
        <v>102</v>
      </c>
      <c r="L179" s="13">
        <v>5</v>
      </c>
      <c r="M179" s="15">
        <v>32.880000000000003</v>
      </c>
      <c r="N179" s="7">
        <v>1.1100000000000001</v>
      </c>
    </row>
    <row r="180" spans="1:14" x14ac:dyDescent="0.35">
      <c r="A180">
        <v>179</v>
      </c>
      <c r="B180" t="s">
        <v>151</v>
      </c>
      <c r="C180" t="s">
        <v>179</v>
      </c>
      <c r="D180" s="2" t="s">
        <v>221</v>
      </c>
      <c r="E180" s="12">
        <v>45826</v>
      </c>
      <c r="F180" s="12">
        <v>45836</v>
      </c>
      <c r="G180" s="12" t="s">
        <v>409</v>
      </c>
      <c r="H180" s="15">
        <v>72</v>
      </c>
      <c r="I180">
        <v>991</v>
      </c>
      <c r="J180">
        <v>92</v>
      </c>
      <c r="K180" s="15">
        <v>160</v>
      </c>
      <c r="L180" s="13">
        <v>10</v>
      </c>
      <c r="M180" s="15">
        <v>25.25</v>
      </c>
      <c r="N180" s="7">
        <v>1.74</v>
      </c>
    </row>
    <row r="181" spans="1:14" x14ac:dyDescent="0.35">
      <c r="A181">
        <v>180</v>
      </c>
      <c r="B181" t="s">
        <v>152</v>
      </c>
      <c r="C181" t="s">
        <v>176</v>
      </c>
      <c r="D181" s="2" t="s">
        <v>222</v>
      </c>
      <c r="E181" s="12">
        <v>45837</v>
      </c>
      <c r="F181" s="12">
        <v>45846</v>
      </c>
      <c r="G181" s="12" t="s">
        <v>410</v>
      </c>
      <c r="H181" s="15">
        <v>252</v>
      </c>
      <c r="I181">
        <v>164</v>
      </c>
      <c r="J181">
        <v>92</v>
      </c>
      <c r="K181" s="15">
        <v>128</v>
      </c>
      <c r="L181" s="13">
        <v>9</v>
      </c>
      <c r="M181" s="15">
        <v>29.17</v>
      </c>
      <c r="N181" s="7">
        <v>1.39</v>
      </c>
    </row>
    <row r="182" spans="1:14" x14ac:dyDescent="0.35">
      <c r="A182">
        <v>181</v>
      </c>
      <c r="B182" t="s">
        <v>153</v>
      </c>
      <c r="C182" t="s">
        <v>176</v>
      </c>
      <c r="D182" s="2" t="s">
        <v>224</v>
      </c>
      <c r="E182" s="12">
        <v>45858</v>
      </c>
      <c r="F182" s="12">
        <v>45864</v>
      </c>
      <c r="G182" s="12" t="s">
        <v>411</v>
      </c>
      <c r="H182" s="15">
        <v>98</v>
      </c>
      <c r="I182">
        <v>738</v>
      </c>
      <c r="J182">
        <v>92</v>
      </c>
      <c r="K182" s="15">
        <v>100</v>
      </c>
      <c r="L182" s="13">
        <v>6</v>
      </c>
      <c r="M182" s="15">
        <v>24.68</v>
      </c>
      <c r="N182" s="7">
        <v>1.0900000000000001</v>
      </c>
    </row>
    <row r="183" spans="1:14" x14ac:dyDescent="0.35">
      <c r="A183">
        <v>182</v>
      </c>
      <c r="B183" t="s">
        <v>154</v>
      </c>
      <c r="C183" t="s">
        <v>167</v>
      </c>
      <c r="D183" s="2" t="s">
        <v>223</v>
      </c>
      <c r="E183" s="12">
        <v>45798</v>
      </c>
      <c r="F183" s="12">
        <v>45808</v>
      </c>
      <c r="G183" s="12" t="s">
        <v>412</v>
      </c>
      <c r="H183" s="15">
        <v>583</v>
      </c>
      <c r="I183">
        <v>89</v>
      </c>
      <c r="J183">
        <v>92</v>
      </c>
      <c r="K183" s="15">
        <v>170</v>
      </c>
      <c r="L183" s="13">
        <v>10</v>
      </c>
      <c r="M183" s="15">
        <v>23.78</v>
      </c>
      <c r="N183" s="7">
        <v>1.85</v>
      </c>
    </row>
    <row r="184" spans="1:14" x14ac:dyDescent="0.35">
      <c r="A184">
        <v>183</v>
      </c>
      <c r="B184" t="s">
        <v>155</v>
      </c>
      <c r="C184" t="s">
        <v>164</v>
      </c>
      <c r="D184" s="2" t="s">
        <v>212</v>
      </c>
      <c r="E184" s="12">
        <v>45818</v>
      </c>
      <c r="F184" s="12">
        <v>45827</v>
      </c>
      <c r="G184" s="12" t="s">
        <v>413</v>
      </c>
      <c r="H184" s="15">
        <v>94</v>
      </c>
      <c r="I184">
        <v>746</v>
      </c>
      <c r="J184">
        <v>92</v>
      </c>
      <c r="K184" s="15">
        <v>148</v>
      </c>
      <c r="L184" s="13">
        <v>9</v>
      </c>
      <c r="M184" s="15">
        <v>23.92</v>
      </c>
      <c r="N184" s="7">
        <v>1.61</v>
      </c>
    </row>
    <row r="185" spans="1:14" x14ac:dyDescent="0.35">
      <c r="A185">
        <v>184</v>
      </c>
      <c r="B185" t="s">
        <v>156</v>
      </c>
      <c r="C185" t="s">
        <v>170</v>
      </c>
      <c r="D185" s="2" t="s">
        <v>213</v>
      </c>
      <c r="E185" s="12">
        <v>45807</v>
      </c>
      <c r="F185" s="12">
        <v>45816</v>
      </c>
      <c r="G185" s="12" t="s">
        <v>414</v>
      </c>
      <c r="H185" s="15">
        <v>232</v>
      </c>
      <c r="I185">
        <v>69</v>
      </c>
      <c r="J185">
        <v>92</v>
      </c>
      <c r="K185" s="15">
        <v>132</v>
      </c>
      <c r="L185" s="13">
        <v>9</v>
      </c>
      <c r="M185" s="15">
        <v>42.67</v>
      </c>
      <c r="N185" s="7">
        <v>1.43</v>
      </c>
    </row>
    <row r="186" spans="1:14" x14ac:dyDescent="0.35">
      <c r="A186">
        <v>185</v>
      </c>
      <c r="B186" t="s">
        <v>157</v>
      </c>
      <c r="C186" t="s">
        <v>175</v>
      </c>
      <c r="D186" s="2" t="s">
        <v>214</v>
      </c>
      <c r="E186" s="12">
        <v>45853</v>
      </c>
      <c r="F186" s="12">
        <v>45858</v>
      </c>
      <c r="G186" s="12" t="s">
        <v>415</v>
      </c>
      <c r="H186" s="15">
        <v>128</v>
      </c>
      <c r="I186">
        <v>268</v>
      </c>
      <c r="J186">
        <v>92</v>
      </c>
      <c r="K186" s="15">
        <v>170</v>
      </c>
      <c r="L186" s="13">
        <v>5</v>
      </c>
      <c r="M186" s="15">
        <v>43.94</v>
      </c>
      <c r="N186" s="7">
        <v>1.85</v>
      </c>
    </row>
    <row r="187" spans="1:14" x14ac:dyDescent="0.35">
      <c r="A187">
        <v>186</v>
      </c>
      <c r="B187" t="s">
        <v>158</v>
      </c>
      <c r="C187" t="s">
        <v>164</v>
      </c>
      <c r="D187" s="2" t="s">
        <v>215</v>
      </c>
      <c r="E187" s="12">
        <v>45792</v>
      </c>
      <c r="F187" s="12">
        <v>45801</v>
      </c>
      <c r="G187" s="12" t="s">
        <v>416</v>
      </c>
      <c r="H187" s="15">
        <v>293</v>
      </c>
      <c r="I187">
        <v>186</v>
      </c>
      <c r="J187">
        <v>92</v>
      </c>
      <c r="K187" s="15">
        <v>150</v>
      </c>
      <c r="L187" s="13">
        <v>9</v>
      </c>
      <c r="M187" s="15">
        <v>36.11</v>
      </c>
      <c r="N187" s="7">
        <v>1.63</v>
      </c>
    </row>
    <row r="188" spans="1:14" x14ac:dyDescent="0.35">
      <c r="A188">
        <v>187</v>
      </c>
      <c r="B188" t="s">
        <v>159</v>
      </c>
      <c r="C188" t="s">
        <v>163</v>
      </c>
      <c r="D188" s="2" t="s">
        <v>216</v>
      </c>
      <c r="E188" s="12">
        <v>45824</v>
      </c>
      <c r="F188" s="12">
        <v>45829</v>
      </c>
      <c r="G188" s="12" t="s">
        <v>417</v>
      </c>
      <c r="H188" s="15">
        <v>111</v>
      </c>
      <c r="I188">
        <v>211</v>
      </c>
      <c r="J188">
        <v>92</v>
      </c>
      <c r="K188" s="15">
        <v>128</v>
      </c>
      <c r="L188" s="13">
        <v>5</v>
      </c>
      <c r="M188" s="15">
        <v>33.57</v>
      </c>
      <c r="N188" s="7">
        <v>1.39</v>
      </c>
    </row>
    <row r="189" spans="1:14" x14ac:dyDescent="0.35">
      <c r="A189">
        <v>188</v>
      </c>
      <c r="B189" t="s">
        <v>160</v>
      </c>
      <c r="C189" t="s">
        <v>166</v>
      </c>
      <c r="D189" s="2" t="s">
        <v>217</v>
      </c>
      <c r="E189" s="12">
        <v>45799</v>
      </c>
      <c r="F189" s="12">
        <v>45804</v>
      </c>
      <c r="G189" s="12" t="s">
        <v>418</v>
      </c>
      <c r="H189" s="15">
        <v>185</v>
      </c>
      <c r="I189">
        <v>254</v>
      </c>
      <c r="J189">
        <v>92</v>
      </c>
      <c r="K189" s="15">
        <v>116</v>
      </c>
      <c r="L189" s="13">
        <v>5</v>
      </c>
      <c r="M189" s="15">
        <v>30.79</v>
      </c>
      <c r="N189" s="7">
        <v>1.26</v>
      </c>
    </row>
    <row r="190" spans="1:14" x14ac:dyDescent="0.35">
      <c r="A190">
        <v>189</v>
      </c>
      <c r="B190" t="s">
        <v>161</v>
      </c>
      <c r="C190" t="s">
        <v>172</v>
      </c>
      <c r="D190" s="2" t="s">
        <v>218</v>
      </c>
      <c r="E190" s="12">
        <v>45817</v>
      </c>
      <c r="F190" s="12">
        <v>45824</v>
      </c>
      <c r="G190" s="12" t="s">
        <v>419</v>
      </c>
      <c r="H190" s="15">
        <v>117</v>
      </c>
      <c r="I190">
        <v>393</v>
      </c>
      <c r="J190">
        <v>92</v>
      </c>
      <c r="K190" s="15">
        <v>95</v>
      </c>
      <c r="L190" s="13">
        <v>7</v>
      </c>
      <c r="M190" s="15">
        <v>27.39</v>
      </c>
      <c r="N190" s="7">
        <v>1.03</v>
      </c>
    </row>
    <row r="191" spans="1:14" x14ac:dyDescent="0.35">
      <c r="D191" s="2"/>
      <c r="G191" s="12"/>
    </row>
    <row r="192" spans="1:14" x14ac:dyDescent="0.35">
      <c r="D192" s="2"/>
    </row>
    <row r="193" spans="4:4" x14ac:dyDescent="0.35">
      <c r="D193" s="2"/>
    </row>
    <row r="194" spans="4:4" x14ac:dyDescent="0.35">
      <c r="D194" s="2"/>
    </row>
    <row r="195" spans="4:4" x14ac:dyDescent="0.35">
      <c r="D195" s="2"/>
    </row>
    <row r="196" spans="4:4" x14ac:dyDescent="0.35">
      <c r="D196" s="2"/>
    </row>
    <row r="197" spans="4:4" x14ac:dyDescent="0.35">
      <c r="D197" s="2"/>
    </row>
    <row r="198" spans="4:4" x14ac:dyDescent="0.35">
      <c r="D198" s="2"/>
    </row>
    <row r="199" spans="4:4" x14ac:dyDescent="0.35">
      <c r="D199" s="2"/>
    </row>
    <row r="200" spans="4:4" x14ac:dyDescent="0.35">
      <c r="D200" s="2"/>
    </row>
    <row r="201" spans="4:4" x14ac:dyDescent="0.35">
      <c r="D201" s="2"/>
    </row>
    <row r="202" spans="4:4" x14ac:dyDescent="0.35">
      <c r="D202" s="2"/>
    </row>
    <row r="203" spans="4:4" x14ac:dyDescent="0.35">
      <c r="D203" s="2"/>
    </row>
    <row r="204" spans="4:4" x14ac:dyDescent="0.35">
      <c r="D204" s="2"/>
    </row>
    <row r="205" spans="4:4" x14ac:dyDescent="0.35">
      <c r="D205" s="2"/>
    </row>
    <row r="206" spans="4:4" x14ac:dyDescent="0.35">
      <c r="D206" s="2"/>
    </row>
    <row r="207" spans="4:4" x14ac:dyDescent="0.35">
      <c r="D207" s="2"/>
    </row>
    <row r="208" spans="4:4" x14ac:dyDescent="0.35">
      <c r="D208" s="2"/>
    </row>
    <row r="209" spans="4:11" x14ac:dyDescent="0.35">
      <c r="D209" s="2"/>
    </row>
    <row r="210" spans="4:11" x14ac:dyDescent="0.35">
      <c r="D210" s="2"/>
    </row>
    <row r="211" spans="4:11" x14ac:dyDescent="0.35">
      <c r="D211" s="2"/>
    </row>
    <row r="212" spans="4:11" x14ac:dyDescent="0.35">
      <c r="D212" s="2"/>
    </row>
    <row r="213" spans="4:11" x14ac:dyDescent="0.35">
      <c r="D213" s="2"/>
    </row>
    <row r="214" spans="4:11" x14ac:dyDescent="0.35">
      <c r="D214" s="2"/>
      <c r="K214" s="3"/>
    </row>
    <row r="215" spans="4:11" x14ac:dyDescent="0.35">
      <c r="D215" s="2"/>
      <c r="K215" s="3"/>
    </row>
    <row r="216" spans="4:11" x14ac:dyDescent="0.35">
      <c r="D216" s="2"/>
      <c r="K216" s="3"/>
    </row>
    <row r="217" spans="4:11" x14ac:dyDescent="0.35">
      <c r="D217" s="2"/>
      <c r="K217" s="3"/>
    </row>
    <row r="218" spans="4:11" x14ac:dyDescent="0.35">
      <c r="D218" s="2"/>
      <c r="K218" s="3"/>
    </row>
    <row r="219" spans="4:11" x14ac:dyDescent="0.35">
      <c r="D219" s="2"/>
      <c r="K219" s="3"/>
    </row>
    <row r="220" spans="4:11" x14ac:dyDescent="0.35">
      <c r="D220" s="2"/>
      <c r="K220" s="3"/>
    </row>
    <row r="221" spans="4:11" x14ac:dyDescent="0.35">
      <c r="D221" s="2"/>
      <c r="K221" s="3"/>
    </row>
    <row r="222" spans="4:11" x14ac:dyDescent="0.35">
      <c r="D222" s="2"/>
      <c r="K222" s="3"/>
    </row>
    <row r="223" spans="4:11" x14ac:dyDescent="0.35">
      <c r="D223" s="2"/>
      <c r="K223" s="3"/>
    </row>
    <row r="224" spans="4:11" x14ac:dyDescent="0.35">
      <c r="D224" s="2"/>
      <c r="K224" s="3"/>
    </row>
    <row r="225" spans="4:11" x14ac:dyDescent="0.35">
      <c r="D225" s="2"/>
      <c r="K225" s="3"/>
    </row>
    <row r="226" spans="4:11" x14ac:dyDescent="0.35">
      <c r="D226" s="2"/>
      <c r="K226" s="3"/>
    </row>
    <row r="227" spans="4:11" x14ac:dyDescent="0.35">
      <c r="D227" s="2"/>
      <c r="K227" s="3"/>
    </row>
    <row r="228" spans="4:11" x14ac:dyDescent="0.35">
      <c r="D228" s="2"/>
      <c r="K228" s="3"/>
    </row>
    <row r="229" spans="4:11" x14ac:dyDescent="0.35">
      <c r="D229" s="2"/>
      <c r="K229" s="3"/>
    </row>
    <row r="230" spans="4:11" x14ac:dyDescent="0.35">
      <c r="D230" s="2"/>
      <c r="K230" s="3"/>
    </row>
    <row r="231" spans="4:11" x14ac:dyDescent="0.35">
      <c r="D231" s="2"/>
      <c r="K231" s="3"/>
    </row>
    <row r="232" spans="4:11" x14ac:dyDescent="0.35">
      <c r="D232" s="2"/>
      <c r="K232" s="3"/>
    </row>
    <row r="233" spans="4:11" x14ac:dyDescent="0.35">
      <c r="D233" s="2"/>
      <c r="K233" s="3"/>
    </row>
    <row r="234" spans="4:11" x14ac:dyDescent="0.35">
      <c r="D234" s="2"/>
      <c r="K234" s="3"/>
    </row>
    <row r="235" spans="4:11" x14ac:dyDescent="0.35">
      <c r="D235" s="2"/>
      <c r="K235" s="3"/>
    </row>
    <row r="236" spans="4:11" x14ac:dyDescent="0.35">
      <c r="D236" s="2"/>
      <c r="K236" s="3"/>
    </row>
    <row r="237" spans="4:11" x14ac:dyDescent="0.35">
      <c r="D237" s="2"/>
      <c r="K237" s="3"/>
    </row>
    <row r="238" spans="4:11" x14ac:dyDescent="0.35">
      <c r="D238" s="2"/>
      <c r="K238" s="3"/>
    </row>
    <row r="239" spans="4:11" x14ac:dyDescent="0.35">
      <c r="D239" s="2"/>
      <c r="K239" s="3"/>
    </row>
    <row r="240" spans="4:11" x14ac:dyDescent="0.35">
      <c r="D240" s="2"/>
      <c r="K240" s="3"/>
    </row>
    <row r="241" spans="4:11" x14ac:dyDescent="0.35">
      <c r="D241" s="2"/>
      <c r="K241" s="3"/>
    </row>
    <row r="242" spans="4:11" x14ac:dyDescent="0.35">
      <c r="D242" s="2"/>
      <c r="K242" s="3"/>
    </row>
    <row r="243" spans="4:11" x14ac:dyDescent="0.35">
      <c r="D243" s="2"/>
      <c r="K243" s="3"/>
    </row>
    <row r="244" spans="4:11" x14ac:dyDescent="0.35">
      <c r="D244" s="2"/>
    </row>
    <row r="245" spans="4:11" x14ac:dyDescent="0.35">
      <c r="D245" s="2"/>
    </row>
    <row r="246" spans="4:11" x14ac:dyDescent="0.35">
      <c r="D246" s="2"/>
    </row>
    <row r="247" spans="4:11" x14ac:dyDescent="0.35">
      <c r="D247" s="2"/>
    </row>
    <row r="248" spans="4:11" x14ac:dyDescent="0.35">
      <c r="D248" s="2"/>
    </row>
    <row r="249" spans="4:11" x14ac:dyDescent="0.35">
      <c r="D249" s="2"/>
    </row>
    <row r="250" spans="4:11" x14ac:dyDescent="0.35">
      <c r="D250" s="2"/>
    </row>
    <row r="251" spans="4:11" x14ac:dyDescent="0.35">
      <c r="D251" s="2"/>
    </row>
    <row r="252" spans="4:11" x14ac:dyDescent="0.35">
      <c r="D252" s="2"/>
    </row>
    <row r="253" spans="4:11" x14ac:dyDescent="0.35">
      <c r="D253" s="2"/>
    </row>
    <row r="254" spans="4:11" x14ac:dyDescent="0.35">
      <c r="D254" s="2"/>
    </row>
    <row r="255" spans="4:11" x14ac:dyDescent="0.35">
      <c r="D255" s="2"/>
    </row>
    <row r="256" spans="4:11" x14ac:dyDescent="0.35">
      <c r="D256" s="2"/>
    </row>
    <row r="257" spans="4:4" x14ac:dyDescent="0.35">
      <c r="D257" s="2"/>
    </row>
    <row r="258" spans="4:4" x14ac:dyDescent="0.35">
      <c r="D258" s="2"/>
    </row>
    <row r="259" spans="4:4" x14ac:dyDescent="0.35">
      <c r="D259" s="2"/>
    </row>
    <row r="260" spans="4:4" x14ac:dyDescent="0.35">
      <c r="D260" s="2"/>
    </row>
    <row r="261" spans="4:4" x14ac:dyDescent="0.35">
      <c r="D26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90"/>
  <sheetViews>
    <sheetView topLeftCell="A171" workbookViewId="0">
      <selection activeCell="F2" sqref="F2:F190"/>
    </sheetView>
  </sheetViews>
  <sheetFormatPr defaultColWidth="9.1796875" defaultRowHeight="14.5" x14ac:dyDescent="0.35"/>
  <cols>
    <col min="6" max="6" width="12.453125" bestFit="1" customWidth="1"/>
  </cols>
  <sheetData>
    <row r="1" spans="2:6" ht="15" thickBot="1" x14ac:dyDescent="0.4">
      <c r="F1" t="s">
        <v>230</v>
      </c>
    </row>
    <row r="2" spans="2:6" ht="15" thickBot="1" x14ac:dyDescent="0.4">
      <c r="B2" s="14">
        <v>96</v>
      </c>
      <c r="C2" s="4">
        <v>92</v>
      </c>
      <c r="D2" s="5">
        <v>410</v>
      </c>
      <c r="E2" s="13">
        <v>7</v>
      </c>
      <c r="F2" s="7">
        <f>((B2*C2)/D2)</f>
        <v>21.541463414634148</v>
      </c>
    </row>
    <row r="3" spans="2:6" ht="15" thickBot="1" x14ac:dyDescent="0.4">
      <c r="B3" s="14">
        <v>93</v>
      </c>
      <c r="C3" s="4">
        <v>92</v>
      </c>
      <c r="D3" s="6">
        <v>390</v>
      </c>
      <c r="E3" s="13">
        <v>9</v>
      </c>
      <c r="F3" s="7">
        <f t="shared" ref="F3:F66" si="0">((B3*C3)/D3)</f>
        <v>21.938461538461539</v>
      </c>
    </row>
    <row r="4" spans="2:6" ht="15" thickBot="1" x14ac:dyDescent="0.4">
      <c r="B4" s="14">
        <v>167</v>
      </c>
      <c r="C4" s="4">
        <v>92</v>
      </c>
      <c r="D4" s="6">
        <v>755</v>
      </c>
      <c r="E4" s="13">
        <v>12</v>
      </c>
      <c r="F4" s="7">
        <f t="shared" si="0"/>
        <v>20.349668874172185</v>
      </c>
    </row>
    <row r="5" spans="2:6" ht="15" thickBot="1" x14ac:dyDescent="0.4">
      <c r="B5" s="14">
        <v>114</v>
      </c>
      <c r="C5" s="4">
        <v>92</v>
      </c>
      <c r="D5" s="6">
        <v>350</v>
      </c>
      <c r="E5" s="13">
        <v>7</v>
      </c>
      <c r="F5" s="7">
        <f t="shared" si="0"/>
        <v>29.965714285714284</v>
      </c>
    </row>
    <row r="6" spans="2:6" ht="15" thickBot="1" x14ac:dyDescent="0.4">
      <c r="B6" s="14">
        <v>112</v>
      </c>
      <c r="C6" s="4">
        <v>92</v>
      </c>
      <c r="D6" s="6">
        <v>300</v>
      </c>
      <c r="E6" s="13">
        <v>8</v>
      </c>
      <c r="F6" s="7">
        <f t="shared" si="0"/>
        <v>34.346666666666664</v>
      </c>
    </row>
    <row r="7" spans="2:6" ht="15" thickBot="1" x14ac:dyDescent="0.4">
      <c r="B7" s="14">
        <v>184</v>
      </c>
      <c r="C7" s="4">
        <v>92</v>
      </c>
      <c r="D7" s="6">
        <v>790</v>
      </c>
      <c r="E7" s="13">
        <v>11</v>
      </c>
      <c r="F7" s="7">
        <f t="shared" si="0"/>
        <v>21.427848101265823</v>
      </c>
    </row>
    <row r="8" spans="2:6" ht="15" thickBot="1" x14ac:dyDescent="0.4">
      <c r="B8" s="14">
        <v>84</v>
      </c>
      <c r="C8" s="4">
        <v>92</v>
      </c>
      <c r="D8" s="6">
        <v>290</v>
      </c>
      <c r="E8" s="13">
        <v>4</v>
      </c>
      <c r="F8" s="7">
        <f t="shared" si="0"/>
        <v>26.648275862068967</v>
      </c>
    </row>
    <row r="9" spans="2:6" ht="15" thickBot="1" x14ac:dyDescent="0.4">
      <c r="B9" s="14">
        <v>95</v>
      </c>
      <c r="C9" s="4">
        <v>92</v>
      </c>
      <c r="D9" s="6">
        <v>310</v>
      </c>
      <c r="E9" s="13">
        <v>9</v>
      </c>
      <c r="F9" s="7">
        <f t="shared" si="0"/>
        <v>28.193548387096776</v>
      </c>
    </row>
    <row r="10" spans="2:6" ht="15" thickBot="1" x14ac:dyDescent="0.4">
      <c r="B10" s="14">
        <v>107</v>
      </c>
      <c r="C10" s="4">
        <v>92</v>
      </c>
      <c r="D10" s="6">
        <v>360</v>
      </c>
      <c r="E10" s="13">
        <v>9</v>
      </c>
      <c r="F10" s="7">
        <f t="shared" si="0"/>
        <v>27.344444444444445</v>
      </c>
    </row>
    <row r="11" spans="2:6" ht="15" thickBot="1" x14ac:dyDescent="0.4">
      <c r="B11" s="14">
        <v>90</v>
      </c>
      <c r="C11" s="4">
        <v>92</v>
      </c>
      <c r="D11" s="6">
        <v>380</v>
      </c>
      <c r="E11" s="13">
        <v>9</v>
      </c>
      <c r="F11" s="7">
        <f t="shared" si="0"/>
        <v>21.789473684210527</v>
      </c>
    </row>
    <row r="12" spans="2:6" ht="15" thickBot="1" x14ac:dyDescent="0.4">
      <c r="B12" s="14">
        <v>92</v>
      </c>
      <c r="C12" s="4">
        <v>92</v>
      </c>
      <c r="D12" s="6">
        <v>350</v>
      </c>
      <c r="E12" s="13">
        <v>10</v>
      </c>
      <c r="F12" s="7">
        <f t="shared" si="0"/>
        <v>24.182857142857141</v>
      </c>
    </row>
    <row r="13" spans="2:6" ht="15" thickBot="1" x14ac:dyDescent="0.4">
      <c r="B13" s="14">
        <v>114</v>
      </c>
      <c r="C13" s="4">
        <v>92</v>
      </c>
      <c r="D13" s="6">
        <v>490</v>
      </c>
      <c r="E13" s="13">
        <v>10</v>
      </c>
      <c r="F13" s="7">
        <f t="shared" si="0"/>
        <v>21.40408163265306</v>
      </c>
    </row>
    <row r="14" spans="2:6" ht="15" thickBot="1" x14ac:dyDescent="0.4">
      <c r="B14" s="14">
        <v>220</v>
      </c>
      <c r="C14" s="4">
        <v>92</v>
      </c>
      <c r="D14" s="6">
        <v>960</v>
      </c>
      <c r="E14" s="13">
        <v>12</v>
      </c>
      <c r="F14" s="7">
        <f t="shared" si="0"/>
        <v>21.083333333333332</v>
      </c>
    </row>
    <row r="15" spans="2:6" ht="15" thickBot="1" x14ac:dyDescent="0.4">
      <c r="B15" s="14">
        <v>129</v>
      </c>
      <c r="C15" s="4">
        <v>92</v>
      </c>
      <c r="D15" s="6">
        <v>420</v>
      </c>
      <c r="E15" s="13">
        <v>11</v>
      </c>
      <c r="F15" s="7">
        <f t="shared" si="0"/>
        <v>28.257142857142856</v>
      </c>
    </row>
    <row r="16" spans="2:6" ht="15" thickBot="1" x14ac:dyDescent="0.4">
      <c r="B16" s="14">
        <v>108</v>
      </c>
      <c r="C16" s="4">
        <v>92</v>
      </c>
      <c r="D16" s="6">
        <v>310</v>
      </c>
      <c r="E16" s="13">
        <v>7</v>
      </c>
      <c r="F16" s="7">
        <f t="shared" si="0"/>
        <v>32.051612903225809</v>
      </c>
    </row>
    <row r="17" spans="2:6" ht="15" thickBot="1" x14ac:dyDescent="0.4">
      <c r="B17" s="14">
        <v>320</v>
      </c>
      <c r="C17" s="4">
        <v>92</v>
      </c>
      <c r="D17" s="6">
        <v>660</v>
      </c>
      <c r="E17" s="13">
        <v>8</v>
      </c>
      <c r="F17" s="7">
        <f t="shared" si="0"/>
        <v>44.606060606060609</v>
      </c>
    </row>
    <row r="18" spans="2:6" ht="15" thickBot="1" x14ac:dyDescent="0.4">
      <c r="B18" s="14">
        <v>108</v>
      </c>
      <c r="C18" s="4">
        <v>92</v>
      </c>
      <c r="D18" s="6">
        <v>280</v>
      </c>
      <c r="E18" s="13">
        <v>7</v>
      </c>
      <c r="F18" s="7">
        <f t="shared" si="0"/>
        <v>35.485714285714288</v>
      </c>
    </row>
    <row r="19" spans="2:6" ht="15" thickBot="1" x14ac:dyDescent="0.4">
      <c r="B19" s="14">
        <v>96</v>
      </c>
      <c r="C19" s="4">
        <v>92</v>
      </c>
      <c r="D19" s="6">
        <v>330</v>
      </c>
      <c r="E19" s="13">
        <v>9</v>
      </c>
      <c r="F19" s="7">
        <f t="shared" si="0"/>
        <v>26.763636363636362</v>
      </c>
    </row>
    <row r="20" spans="2:6" ht="15" thickBot="1" x14ac:dyDescent="0.4">
      <c r="B20" s="14">
        <v>104</v>
      </c>
      <c r="C20" s="4">
        <v>92</v>
      </c>
      <c r="D20" s="6">
        <v>270</v>
      </c>
      <c r="E20" s="13">
        <v>9</v>
      </c>
      <c r="F20" s="7">
        <f t="shared" si="0"/>
        <v>35.437037037037037</v>
      </c>
    </row>
    <row r="21" spans="2:6" ht="15" thickBot="1" x14ac:dyDescent="0.4">
      <c r="B21" s="14">
        <v>120</v>
      </c>
      <c r="C21" s="4">
        <v>92</v>
      </c>
      <c r="D21" s="6">
        <v>510</v>
      </c>
      <c r="E21" s="13">
        <v>11</v>
      </c>
      <c r="F21" s="7">
        <f t="shared" si="0"/>
        <v>21.647058823529413</v>
      </c>
    </row>
    <row r="22" spans="2:6" ht="15" thickBot="1" x14ac:dyDescent="0.4">
      <c r="B22" s="14">
        <v>107</v>
      </c>
      <c r="C22" s="4">
        <v>92</v>
      </c>
      <c r="D22" s="6">
        <v>350</v>
      </c>
      <c r="E22" s="13">
        <v>9</v>
      </c>
      <c r="F22" s="7">
        <f t="shared" si="0"/>
        <v>28.125714285714285</v>
      </c>
    </row>
    <row r="23" spans="2:6" ht="15" thickBot="1" x14ac:dyDescent="0.4">
      <c r="B23" s="14">
        <v>115</v>
      </c>
      <c r="C23" s="4">
        <v>92</v>
      </c>
      <c r="D23" s="6">
        <v>490</v>
      </c>
      <c r="E23" s="13">
        <v>11</v>
      </c>
      <c r="F23" s="7">
        <f t="shared" si="0"/>
        <v>21.591836734693878</v>
      </c>
    </row>
    <row r="24" spans="2:6" ht="15" thickBot="1" x14ac:dyDescent="0.4">
      <c r="B24" s="14">
        <v>111</v>
      </c>
      <c r="C24" s="4">
        <v>92</v>
      </c>
      <c r="D24" s="6">
        <v>310</v>
      </c>
      <c r="E24" s="13">
        <v>9</v>
      </c>
      <c r="F24" s="7">
        <f t="shared" si="0"/>
        <v>32.941935483870971</v>
      </c>
    </row>
    <row r="25" spans="2:6" ht="15" thickBot="1" x14ac:dyDescent="0.4">
      <c r="B25" s="14">
        <v>91</v>
      </c>
      <c r="C25" s="4">
        <v>92</v>
      </c>
      <c r="D25" s="6">
        <v>290</v>
      </c>
      <c r="E25" s="13">
        <v>8</v>
      </c>
      <c r="F25" s="7">
        <f t="shared" si="0"/>
        <v>28.868965517241378</v>
      </c>
    </row>
    <row r="26" spans="2:6" ht="15" thickBot="1" x14ac:dyDescent="0.4">
      <c r="B26" s="14">
        <v>95</v>
      </c>
      <c r="C26" s="4">
        <v>92</v>
      </c>
      <c r="D26" s="6">
        <v>400</v>
      </c>
      <c r="E26" s="13">
        <v>10</v>
      </c>
      <c r="F26" s="7">
        <f t="shared" si="0"/>
        <v>21.85</v>
      </c>
    </row>
    <row r="27" spans="2:6" ht="15" thickBot="1" x14ac:dyDescent="0.4">
      <c r="B27" s="14">
        <v>105</v>
      </c>
      <c r="C27" s="4">
        <v>92</v>
      </c>
      <c r="D27" s="6">
        <v>360</v>
      </c>
      <c r="E27" s="13">
        <v>10</v>
      </c>
      <c r="F27" s="7">
        <f t="shared" si="0"/>
        <v>26.833333333333332</v>
      </c>
    </row>
    <row r="28" spans="2:6" ht="15" thickBot="1" x14ac:dyDescent="0.4">
      <c r="B28" s="14">
        <v>128</v>
      </c>
      <c r="C28" s="4">
        <v>92</v>
      </c>
      <c r="D28" s="6">
        <v>520</v>
      </c>
      <c r="E28" s="13">
        <v>11</v>
      </c>
      <c r="F28" s="7">
        <f t="shared" si="0"/>
        <v>22.646153846153847</v>
      </c>
    </row>
    <row r="29" spans="2:6" ht="15" thickBot="1" x14ac:dyDescent="0.4">
      <c r="B29" s="14">
        <v>87</v>
      </c>
      <c r="C29" s="4">
        <v>92</v>
      </c>
      <c r="D29" s="6">
        <v>310</v>
      </c>
      <c r="E29" s="13">
        <v>7</v>
      </c>
      <c r="F29" s="7">
        <f t="shared" si="0"/>
        <v>25.819354838709678</v>
      </c>
    </row>
    <row r="30" spans="2:6" ht="15" thickBot="1" x14ac:dyDescent="0.4">
      <c r="B30" s="14">
        <v>215</v>
      </c>
      <c r="C30" s="4">
        <v>92</v>
      </c>
      <c r="D30" s="6">
        <v>450</v>
      </c>
      <c r="E30" s="13">
        <v>8</v>
      </c>
      <c r="F30" s="7">
        <f t="shared" si="0"/>
        <v>43.955555555555556</v>
      </c>
    </row>
    <row r="31" spans="2:6" ht="15" thickBot="1" x14ac:dyDescent="0.4">
      <c r="B31" s="14">
        <v>100</v>
      </c>
      <c r="C31" s="4">
        <v>92</v>
      </c>
      <c r="D31" s="6">
        <v>280</v>
      </c>
      <c r="E31" s="13">
        <v>9</v>
      </c>
      <c r="F31" s="7">
        <f t="shared" si="0"/>
        <v>32.857142857142854</v>
      </c>
    </row>
    <row r="32" spans="2:6" ht="15" thickBot="1" x14ac:dyDescent="0.4">
      <c r="B32" s="15">
        <v>190</v>
      </c>
      <c r="C32" s="4">
        <v>92</v>
      </c>
      <c r="D32" s="6">
        <v>734</v>
      </c>
      <c r="E32" s="13">
        <v>2</v>
      </c>
      <c r="F32" s="7">
        <f t="shared" si="0"/>
        <v>23.814713896457764</v>
      </c>
    </row>
    <row r="33" spans="2:6" ht="15" thickBot="1" x14ac:dyDescent="0.4">
      <c r="B33" s="15">
        <v>35</v>
      </c>
      <c r="C33" s="4">
        <v>92</v>
      </c>
      <c r="D33" s="6">
        <v>83</v>
      </c>
      <c r="E33" s="13">
        <v>8</v>
      </c>
      <c r="F33" s="7">
        <f t="shared" si="0"/>
        <v>38.795180722891565</v>
      </c>
    </row>
    <row r="34" spans="2:6" ht="15" thickBot="1" x14ac:dyDescent="0.4">
      <c r="B34" s="15">
        <v>80</v>
      </c>
      <c r="C34" s="4">
        <v>92</v>
      </c>
      <c r="D34" s="6">
        <v>178</v>
      </c>
      <c r="E34" s="13">
        <v>5</v>
      </c>
      <c r="F34" s="7">
        <f t="shared" si="0"/>
        <v>41.348314606741575</v>
      </c>
    </row>
    <row r="35" spans="2:6" ht="15" thickBot="1" x14ac:dyDescent="0.4">
      <c r="B35" s="15">
        <v>100</v>
      </c>
      <c r="C35" s="4">
        <v>92</v>
      </c>
      <c r="D35" s="6">
        <v>247</v>
      </c>
      <c r="E35" s="13">
        <v>7</v>
      </c>
      <c r="F35" s="7">
        <f t="shared" si="0"/>
        <v>37.246963562753038</v>
      </c>
    </row>
    <row r="36" spans="2:6" ht="15" thickBot="1" x14ac:dyDescent="0.4">
      <c r="B36" s="15">
        <v>72</v>
      </c>
      <c r="C36" s="4">
        <v>92</v>
      </c>
      <c r="D36" s="6">
        <v>153</v>
      </c>
      <c r="E36" s="13">
        <v>5</v>
      </c>
      <c r="F36" s="7">
        <f t="shared" si="0"/>
        <v>43.294117647058826</v>
      </c>
    </row>
    <row r="37" spans="2:6" ht="15" thickBot="1" x14ac:dyDescent="0.4">
      <c r="B37" s="15">
        <v>60</v>
      </c>
      <c r="C37" s="4">
        <v>92</v>
      </c>
      <c r="D37" s="6">
        <v>136</v>
      </c>
      <c r="E37" s="13">
        <v>9</v>
      </c>
      <c r="F37" s="7">
        <f t="shared" si="0"/>
        <v>40.588235294117645</v>
      </c>
    </row>
    <row r="38" spans="2:6" ht="15" thickBot="1" x14ac:dyDescent="0.4">
      <c r="B38" s="15">
        <v>52</v>
      </c>
      <c r="C38" s="4">
        <v>92</v>
      </c>
      <c r="D38" s="6">
        <v>107</v>
      </c>
      <c r="E38" s="13">
        <v>4</v>
      </c>
      <c r="F38" s="7">
        <f t="shared" si="0"/>
        <v>44.710280373831779</v>
      </c>
    </row>
    <row r="39" spans="2:6" ht="15" thickBot="1" x14ac:dyDescent="0.4">
      <c r="B39" s="15">
        <v>57</v>
      </c>
      <c r="C39" s="4">
        <v>92</v>
      </c>
      <c r="D39" s="6">
        <v>147</v>
      </c>
      <c r="E39" s="13">
        <v>2</v>
      </c>
      <c r="F39" s="7">
        <f t="shared" si="0"/>
        <v>35.673469387755105</v>
      </c>
    </row>
    <row r="40" spans="2:6" ht="15" thickBot="1" x14ac:dyDescent="0.4">
      <c r="B40" s="15">
        <v>203</v>
      </c>
      <c r="C40" s="4">
        <v>92</v>
      </c>
      <c r="D40" s="6">
        <v>920</v>
      </c>
      <c r="E40" s="13">
        <v>9</v>
      </c>
      <c r="F40" s="7">
        <f t="shared" si="0"/>
        <v>20.3</v>
      </c>
    </row>
    <row r="41" spans="2:6" ht="15" thickBot="1" x14ac:dyDescent="0.4">
      <c r="B41" s="15">
        <v>120</v>
      </c>
      <c r="C41" s="4">
        <v>92</v>
      </c>
      <c r="D41" s="6">
        <v>260</v>
      </c>
      <c r="E41" s="13">
        <v>6</v>
      </c>
      <c r="F41" s="7">
        <f t="shared" si="0"/>
        <v>42.46153846153846</v>
      </c>
    </row>
    <row r="42" spans="2:6" ht="15" thickBot="1" x14ac:dyDescent="0.4">
      <c r="B42" s="15">
        <v>110</v>
      </c>
      <c r="C42" s="4">
        <v>92</v>
      </c>
      <c r="D42" s="6">
        <v>238</v>
      </c>
      <c r="E42" s="13">
        <v>2</v>
      </c>
      <c r="F42" s="7">
        <f t="shared" si="0"/>
        <v>42.521008403361343</v>
      </c>
    </row>
    <row r="43" spans="2:6" ht="15" thickBot="1" x14ac:dyDescent="0.4">
      <c r="B43" s="15">
        <v>152</v>
      </c>
      <c r="C43" s="4">
        <v>92</v>
      </c>
      <c r="D43" s="6">
        <v>368</v>
      </c>
      <c r="E43" s="13">
        <v>4</v>
      </c>
      <c r="F43" s="7">
        <f t="shared" si="0"/>
        <v>38</v>
      </c>
    </row>
    <row r="44" spans="2:6" ht="15" thickBot="1" x14ac:dyDescent="0.4">
      <c r="B44" s="15">
        <v>112</v>
      </c>
      <c r="C44" s="4">
        <v>92</v>
      </c>
      <c r="D44" s="6">
        <v>484</v>
      </c>
      <c r="E44" s="13">
        <v>2</v>
      </c>
      <c r="F44" s="7">
        <f t="shared" si="0"/>
        <v>21.289256198347108</v>
      </c>
    </row>
    <row r="45" spans="2:6" ht="15" thickBot="1" x14ac:dyDescent="0.4">
      <c r="B45" s="15">
        <v>50</v>
      </c>
      <c r="C45" s="4">
        <v>92</v>
      </c>
      <c r="D45" s="6">
        <v>158</v>
      </c>
      <c r="E45" s="13">
        <v>8</v>
      </c>
      <c r="F45" s="7">
        <f t="shared" si="0"/>
        <v>29.11392405063291</v>
      </c>
    </row>
    <row r="46" spans="2:6" ht="15" thickBot="1" x14ac:dyDescent="0.4">
      <c r="B46" s="15">
        <v>103</v>
      </c>
      <c r="C46" s="4">
        <v>92</v>
      </c>
      <c r="D46" s="6">
        <v>227</v>
      </c>
      <c r="E46" s="13">
        <v>5</v>
      </c>
      <c r="F46" s="7">
        <f t="shared" si="0"/>
        <v>41.744493392070481</v>
      </c>
    </row>
    <row r="47" spans="2:6" ht="15" thickBot="1" x14ac:dyDescent="0.4">
      <c r="B47" s="15">
        <v>92</v>
      </c>
      <c r="C47" s="4">
        <v>92</v>
      </c>
      <c r="D47" s="6">
        <v>371</v>
      </c>
      <c r="E47" s="13">
        <v>6</v>
      </c>
      <c r="F47" s="7">
        <f t="shared" si="0"/>
        <v>22.81401617250674</v>
      </c>
    </row>
    <row r="48" spans="2:6" ht="15" thickBot="1" x14ac:dyDescent="0.4">
      <c r="B48" s="15">
        <v>66</v>
      </c>
      <c r="C48" s="4">
        <v>92</v>
      </c>
      <c r="D48" s="6">
        <v>235</v>
      </c>
      <c r="E48" s="13">
        <v>5</v>
      </c>
      <c r="F48" s="7">
        <f t="shared" si="0"/>
        <v>25.838297872340426</v>
      </c>
    </row>
    <row r="49" spans="2:6" ht="15" thickBot="1" x14ac:dyDescent="0.4">
      <c r="B49" s="15">
        <v>99</v>
      </c>
      <c r="C49" s="4">
        <v>92</v>
      </c>
      <c r="D49" s="6">
        <v>421</v>
      </c>
      <c r="E49" s="13">
        <v>7</v>
      </c>
      <c r="F49" s="7">
        <f t="shared" si="0"/>
        <v>21.63420427553444</v>
      </c>
    </row>
    <row r="50" spans="2:6" ht="15" thickBot="1" x14ac:dyDescent="0.4">
      <c r="B50" s="15">
        <v>190</v>
      </c>
      <c r="C50" s="4">
        <v>92</v>
      </c>
      <c r="D50" s="6">
        <v>830</v>
      </c>
      <c r="E50" s="13">
        <v>3</v>
      </c>
      <c r="F50" s="7">
        <f t="shared" si="0"/>
        <v>21.060240963855421</v>
      </c>
    </row>
    <row r="51" spans="2:6" ht="15" thickBot="1" x14ac:dyDescent="0.4">
      <c r="B51" s="15">
        <v>90</v>
      </c>
      <c r="C51" s="4">
        <v>92</v>
      </c>
      <c r="D51" s="6">
        <v>360</v>
      </c>
      <c r="E51" s="13">
        <v>4</v>
      </c>
      <c r="F51" s="7">
        <f t="shared" si="0"/>
        <v>23</v>
      </c>
    </row>
    <row r="52" spans="2:6" ht="15" thickBot="1" x14ac:dyDescent="0.4">
      <c r="B52" s="15">
        <v>33</v>
      </c>
      <c r="C52" s="4">
        <v>92</v>
      </c>
      <c r="D52" s="6">
        <v>96</v>
      </c>
      <c r="E52" s="13">
        <v>2</v>
      </c>
      <c r="F52" s="7">
        <f t="shared" si="0"/>
        <v>31.625</v>
      </c>
    </row>
    <row r="53" spans="2:6" ht="15" thickBot="1" x14ac:dyDescent="0.4">
      <c r="B53" s="15">
        <v>120</v>
      </c>
      <c r="C53" s="4">
        <v>92</v>
      </c>
      <c r="D53" s="6">
        <v>264</v>
      </c>
      <c r="E53" s="13">
        <v>5</v>
      </c>
      <c r="F53" s="7">
        <f t="shared" si="0"/>
        <v>41.81818181818182</v>
      </c>
    </row>
    <row r="54" spans="2:6" ht="15" thickBot="1" x14ac:dyDescent="0.4">
      <c r="B54" s="15">
        <v>90</v>
      </c>
      <c r="C54" s="4">
        <v>92</v>
      </c>
      <c r="D54" s="6">
        <v>220</v>
      </c>
      <c r="E54" s="13">
        <v>4</v>
      </c>
      <c r="F54" s="7">
        <f t="shared" si="0"/>
        <v>37.636363636363633</v>
      </c>
    </row>
    <row r="55" spans="2:6" ht="15" thickBot="1" x14ac:dyDescent="0.4">
      <c r="B55" s="15">
        <v>30</v>
      </c>
      <c r="C55" s="4">
        <v>92</v>
      </c>
      <c r="D55" s="6">
        <v>87</v>
      </c>
      <c r="E55" s="13">
        <v>4</v>
      </c>
      <c r="F55" s="7">
        <f t="shared" si="0"/>
        <v>31.724137931034484</v>
      </c>
    </row>
    <row r="56" spans="2:6" ht="15" thickBot="1" x14ac:dyDescent="0.4">
      <c r="B56" s="15">
        <v>75</v>
      </c>
      <c r="C56" s="4">
        <v>92</v>
      </c>
      <c r="D56" s="6">
        <v>280</v>
      </c>
      <c r="E56" s="13">
        <v>10</v>
      </c>
      <c r="F56" s="7">
        <f t="shared" si="0"/>
        <v>24.642857142857142</v>
      </c>
    </row>
    <row r="57" spans="2:6" ht="15" thickBot="1" x14ac:dyDescent="0.4">
      <c r="B57" s="15">
        <v>154</v>
      </c>
      <c r="C57" s="4">
        <v>92</v>
      </c>
      <c r="D57" s="6">
        <v>548</v>
      </c>
      <c r="E57" s="13">
        <v>8</v>
      </c>
      <c r="F57" s="7">
        <f t="shared" si="0"/>
        <v>25.854014598540147</v>
      </c>
    </row>
    <row r="58" spans="2:6" ht="15" thickBot="1" x14ac:dyDescent="0.4">
      <c r="B58" s="15">
        <v>34</v>
      </c>
      <c r="C58" s="4">
        <v>92</v>
      </c>
      <c r="D58" s="6">
        <v>80</v>
      </c>
      <c r="E58" s="13">
        <v>3</v>
      </c>
      <c r="F58" s="7">
        <f t="shared" si="0"/>
        <v>39.1</v>
      </c>
    </row>
    <row r="59" spans="2:6" ht="15" thickBot="1" x14ac:dyDescent="0.4">
      <c r="B59" s="15">
        <v>104</v>
      </c>
      <c r="C59" s="4">
        <v>92</v>
      </c>
      <c r="D59" s="6">
        <v>454</v>
      </c>
      <c r="E59" s="13">
        <v>10</v>
      </c>
      <c r="F59" s="7">
        <f t="shared" si="0"/>
        <v>21.07488986784141</v>
      </c>
    </row>
    <row r="60" spans="2:6" ht="15" thickBot="1" x14ac:dyDescent="0.4">
      <c r="B60" s="15">
        <v>29</v>
      </c>
      <c r="C60" s="4">
        <v>92</v>
      </c>
      <c r="D60" s="6">
        <v>74</v>
      </c>
      <c r="E60" s="13">
        <v>4</v>
      </c>
      <c r="F60" s="7">
        <f t="shared" si="0"/>
        <v>36.054054054054056</v>
      </c>
    </row>
    <row r="61" spans="2:6" ht="15" thickBot="1" x14ac:dyDescent="0.4">
      <c r="B61" s="15">
        <v>108</v>
      </c>
      <c r="C61" s="4">
        <v>92</v>
      </c>
      <c r="D61" s="6">
        <v>451</v>
      </c>
      <c r="E61" s="13">
        <v>4</v>
      </c>
      <c r="F61" s="7">
        <f t="shared" si="0"/>
        <v>22.031042128603104</v>
      </c>
    </row>
    <row r="62" spans="2:6" ht="15" thickBot="1" x14ac:dyDescent="0.4">
      <c r="B62" s="15">
        <v>152</v>
      </c>
      <c r="C62" s="4">
        <v>92</v>
      </c>
      <c r="D62" s="6">
        <v>368</v>
      </c>
      <c r="E62" s="13">
        <v>8</v>
      </c>
      <c r="F62" s="7">
        <f t="shared" si="0"/>
        <v>38</v>
      </c>
    </row>
    <row r="63" spans="2:6" ht="15" thickBot="1" x14ac:dyDescent="0.4">
      <c r="B63" s="15">
        <v>26</v>
      </c>
      <c r="C63" s="4">
        <v>92</v>
      </c>
      <c r="D63" s="6">
        <v>59</v>
      </c>
      <c r="E63" s="13">
        <v>9</v>
      </c>
      <c r="F63" s="7">
        <f t="shared" si="0"/>
        <v>40.542372881355931</v>
      </c>
    </row>
    <row r="64" spans="2:6" ht="15" thickBot="1" x14ac:dyDescent="0.4">
      <c r="B64" s="15">
        <v>144</v>
      </c>
      <c r="C64" s="4">
        <v>92</v>
      </c>
      <c r="D64" s="6">
        <v>346</v>
      </c>
      <c r="E64" s="13">
        <v>10</v>
      </c>
      <c r="F64" s="7">
        <f t="shared" si="0"/>
        <v>38.289017341040463</v>
      </c>
    </row>
    <row r="65" spans="2:6" ht="15" thickBot="1" x14ac:dyDescent="0.4">
      <c r="B65" s="15">
        <v>88</v>
      </c>
      <c r="C65" s="4">
        <v>92</v>
      </c>
      <c r="D65" s="6">
        <v>248</v>
      </c>
      <c r="E65" s="13">
        <v>9</v>
      </c>
      <c r="F65" s="7">
        <f t="shared" si="0"/>
        <v>32.645161290322584</v>
      </c>
    </row>
    <row r="66" spans="2:6" ht="15" thickBot="1" x14ac:dyDescent="0.4">
      <c r="B66" s="15">
        <v>19</v>
      </c>
      <c r="C66" s="4">
        <v>92</v>
      </c>
      <c r="D66" s="6">
        <v>50</v>
      </c>
      <c r="E66" s="13">
        <v>5</v>
      </c>
      <c r="F66" s="7">
        <f t="shared" si="0"/>
        <v>34.96</v>
      </c>
    </row>
    <row r="67" spans="2:6" ht="15" thickBot="1" x14ac:dyDescent="0.4">
      <c r="B67" s="15">
        <v>135</v>
      </c>
      <c r="C67" s="4">
        <v>92</v>
      </c>
      <c r="D67" s="6">
        <v>409</v>
      </c>
      <c r="E67" s="13">
        <v>5</v>
      </c>
      <c r="F67" s="7">
        <f t="shared" ref="F67:F130" si="1">((B67*C67)/D67)</f>
        <v>30.366748166259168</v>
      </c>
    </row>
    <row r="68" spans="2:6" ht="15" thickBot="1" x14ac:dyDescent="0.4">
      <c r="B68" s="15">
        <v>80</v>
      </c>
      <c r="C68" s="4">
        <v>92</v>
      </c>
      <c r="D68" s="6">
        <v>366</v>
      </c>
      <c r="E68" s="13">
        <v>6</v>
      </c>
      <c r="F68" s="7">
        <f t="shared" si="1"/>
        <v>20.10928961748634</v>
      </c>
    </row>
    <row r="69" spans="2:6" ht="15" thickBot="1" x14ac:dyDescent="0.4">
      <c r="B69" s="15">
        <v>174</v>
      </c>
      <c r="C69" s="4">
        <v>92</v>
      </c>
      <c r="D69" s="6">
        <v>791</v>
      </c>
      <c r="E69" s="13">
        <v>5</v>
      </c>
      <c r="F69" s="7">
        <f t="shared" si="1"/>
        <v>20.237673830594186</v>
      </c>
    </row>
    <row r="70" spans="2:6" ht="15" thickBot="1" x14ac:dyDescent="0.4">
      <c r="B70" s="15">
        <v>34</v>
      </c>
      <c r="C70" s="4">
        <v>92</v>
      </c>
      <c r="D70" s="6">
        <v>140</v>
      </c>
      <c r="E70" s="13">
        <v>6</v>
      </c>
      <c r="F70" s="7">
        <f t="shared" si="1"/>
        <v>22.342857142857142</v>
      </c>
    </row>
    <row r="71" spans="2:6" ht="15" thickBot="1" x14ac:dyDescent="0.4">
      <c r="B71" s="15">
        <v>121</v>
      </c>
      <c r="C71" s="4">
        <v>92</v>
      </c>
      <c r="D71" s="6">
        <v>315</v>
      </c>
      <c r="E71" s="13">
        <v>5</v>
      </c>
      <c r="F71" s="7">
        <f t="shared" si="1"/>
        <v>35.339682539682542</v>
      </c>
    </row>
    <row r="72" spans="2:6" ht="15" thickBot="1" x14ac:dyDescent="0.4">
      <c r="B72" s="15">
        <v>142</v>
      </c>
      <c r="C72" s="4">
        <v>92</v>
      </c>
      <c r="D72" s="6">
        <v>310</v>
      </c>
      <c r="E72" s="13">
        <v>6</v>
      </c>
      <c r="F72" s="7">
        <f t="shared" si="1"/>
        <v>42.141935483870967</v>
      </c>
    </row>
    <row r="73" spans="2:6" ht="15" thickBot="1" x14ac:dyDescent="0.4">
      <c r="B73" s="15">
        <v>23</v>
      </c>
      <c r="C73" s="4">
        <v>92</v>
      </c>
      <c r="D73" s="6">
        <v>51</v>
      </c>
      <c r="E73" s="13">
        <v>6</v>
      </c>
      <c r="F73" s="7">
        <f t="shared" si="1"/>
        <v>41.490196078431374</v>
      </c>
    </row>
    <row r="74" spans="2:6" ht="15" thickBot="1" x14ac:dyDescent="0.4">
      <c r="B74" s="15">
        <v>131</v>
      </c>
      <c r="C74" s="4">
        <v>92</v>
      </c>
      <c r="D74" s="6">
        <v>308</v>
      </c>
      <c r="E74" s="13">
        <v>9</v>
      </c>
      <c r="F74" s="7">
        <f t="shared" si="1"/>
        <v>39.129870129870127</v>
      </c>
    </row>
    <row r="75" spans="2:6" ht="15" thickBot="1" x14ac:dyDescent="0.4">
      <c r="B75" s="15">
        <v>35</v>
      </c>
      <c r="C75" s="4">
        <v>92</v>
      </c>
      <c r="D75" s="6">
        <v>93</v>
      </c>
      <c r="E75" s="13">
        <v>6</v>
      </c>
      <c r="F75" s="7">
        <f t="shared" si="1"/>
        <v>34.623655913978496</v>
      </c>
    </row>
    <row r="76" spans="2:6" ht="15" thickBot="1" x14ac:dyDescent="0.4">
      <c r="B76" s="15">
        <v>32</v>
      </c>
      <c r="C76" s="4">
        <v>92</v>
      </c>
      <c r="D76" s="6">
        <v>100</v>
      </c>
      <c r="E76" s="13">
        <v>9</v>
      </c>
      <c r="F76" s="7">
        <f t="shared" si="1"/>
        <v>29.44</v>
      </c>
    </row>
    <row r="77" spans="2:6" ht="15" thickBot="1" x14ac:dyDescent="0.4">
      <c r="B77" s="15">
        <v>200</v>
      </c>
      <c r="C77" s="4">
        <v>92</v>
      </c>
      <c r="D77" s="6">
        <v>864</v>
      </c>
      <c r="E77" s="13">
        <v>4</v>
      </c>
      <c r="F77" s="7">
        <f t="shared" si="1"/>
        <v>21.296296296296298</v>
      </c>
    </row>
    <row r="78" spans="2:6" ht="15" thickBot="1" x14ac:dyDescent="0.4">
      <c r="B78" s="15">
        <v>166</v>
      </c>
      <c r="C78" s="4">
        <v>92</v>
      </c>
      <c r="D78" s="6">
        <v>390</v>
      </c>
      <c r="E78" s="13">
        <v>3</v>
      </c>
      <c r="F78" s="7">
        <f t="shared" si="1"/>
        <v>39.158974358974362</v>
      </c>
    </row>
    <row r="79" spans="2:6" ht="15" thickBot="1" x14ac:dyDescent="0.4">
      <c r="B79" s="15">
        <v>197</v>
      </c>
      <c r="C79" s="4">
        <v>92</v>
      </c>
      <c r="D79" s="6">
        <v>857</v>
      </c>
      <c r="E79" s="13">
        <v>3</v>
      </c>
      <c r="F79" s="7">
        <f t="shared" si="1"/>
        <v>21.14819136522754</v>
      </c>
    </row>
    <row r="80" spans="2:6" ht="15" thickBot="1" x14ac:dyDescent="0.4">
      <c r="B80" s="15">
        <v>113</v>
      </c>
      <c r="C80" s="4">
        <v>92</v>
      </c>
      <c r="D80" s="6">
        <v>344</v>
      </c>
      <c r="E80" s="13">
        <v>7</v>
      </c>
      <c r="F80" s="7">
        <f t="shared" si="1"/>
        <v>30.220930232558139</v>
      </c>
    </row>
    <row r="81" spans="2:6" ht="15" thickBot="1" x14ac:dyDescent="0.4">
      <c r="B81" s="15">
        <v>113</v>
      </c>
      <c r="C81" s="4">
        <v>92</v>
      </c>
      <c r="D81" s="6">
        <v>357</v>
      </c>
      <c r="E81" s="13">
        <v>9</v>
      </c>
      <c r="F81" s="7">
        <f t="shared" si="1"/>
        <v>29.120448179271708</v>
      </c>
    </row>
    <row r="82" spans="2:6" ht="15" thickBot="1" x14ac:dyDescent="0.4">
      <c r="B82" s="15">
        <v>43</v>
      </c>
      <c r="C82" s="4">
        <v>92</v>
      </c>
      <c r="D82" s="6">
        <v>156</v>
      </c>
      <c r="E82" s="13">
        <v>4</v>
      </c>
      <c r="F82" s="7">
        <f t="shared" si="1"/>
        <v>25.358974358974358</v>
      </c>
    </row>
    <row r="83" spans="2:6" ht="15" thickBot="1" x14ac:dyDescent="0.4">
      <c r="B83" s="15">
        <v>87</v>
      </c>
      <c r="C83" s="4">
        <v>92</v>
      </c>
      <c r="D83" s="6">
        <v>261</v>
      </c>
      <c r="E83" s="13">
        <v>7</v>
      </c>
      <c r="F83" s="7">
        <f t="shared" si="1"/>
        <v>30.666666666666668</v>
      </c>
    </row>
    <row r="84" spans="2:6" ht="15" thickBot="1" x14ac:dyDescent="0.4">
      <c r="B84" s="15">
        <v>30</v>
      </c>
      <c r="C84" s="4">
        <v>92</v>
      </c>
      <c r="D84" s="6">
        <v>78</v>
      </c>
      <c r="E84" s="13">
        <v>3</v>
      </c>
      <c r="F84" s="7">
        <f t="shared" si="1"/>
        <v>35.384615384615387</v>
      </c>
    </row>
    <row r="85" spans="2:6" ht="15" thickBot="1" x14ac:dyDescent="0.4">
      <c r="B85" s="15">
        <v>54</v>
      </c>
      <c r="C85" s="4">
        <v>92</v>
      </c>
      <c r="D85" s="6">
        <v>173</v>
      </c>
      <c r="E85" s="13">
        <v>6</v>
      </c>
      <c r="F85" s="7">
        <f t="shared" si="1"/>
        <v>28.716763005780347</v>
      </c>
    </row>
    <row r="86" spans="2:6" ht="15" thickBot="1" x14ac:dyDescent="0.4">
      <c r="B86" s="15">
        <v>189</v>
      </c>
      <c r="C86" s="4">
        <v>92</v>
      </c>
      <c r="D86" s="6">
        <v>427</v>
      </c>
      <c r="E86" s="13">
        <v>5</v>
      </c>
      <c r="F86" s="7">
        <f t="shared" si="1"/>
        <v>40.721311475409834</v>
      </c>
    </row>
    <row r="87" spans="2:6" ht="15" thickBot="1" x14ac:dyDescent="0.4">
      <c r="B87" s="15">
        <v>179</v>
      </c>
      <c r="C87" s="4">
        <v>92</v>
      </c>
      <c r="D87" s="6">
        <v>419</v>
      </c>
      <c r="E87" s="13">
        <v>10</v>
      </c>
      <c r="F87" s="7">
        <f t="shared" si="1"/>
        <v>39.30310262529833</v>
      </c>
    </row>
    <row r="88" spans="2:6" ht="15" thickBot="1" x14ac:dyDescent="0.4">
      <c r="B88" s="15">
        <v>35</v>
      </c>
      <c r="C88" s="4">
        <v>92</v>
      </c>
      <c r="D88" s="6">
        <v>73</v>
      </c>
      <c r="E88" s="13">
        <v>8</v>
      </c>
      <c r="F88" s="7">
        <f t="shared" si="1"/>
        <v>44.109589041095887</v>
      </c>
    </row>
    <row r="89" spans="2:6" ht="15" thickBot="1" x14ac:dyDescent="0.4">
      <c r="B89" s="15">
        <v>54</v>
      </c>
      <c r="C89" s="4">
        <v>92</v>
      </c>
      <c r="D89" s="6">
        <v>176</v>
      </c>
      <c r="E89" s="13">
        <v>10</v>
      </c>
      <c r="F89" s="7">
        <f t="shared" si="1"/>
        <v>28.227272727272727</v>
      </c>
    </row>
    <row r="90" spans="2:6" ht="15" thickBot="1" x14ac:dyDescent="0.4">
      <c r="B90" s="15">
        <v>103</v>
      </c>
      <c r="C90" s="4">
        <v>92</v>
      </c>
      <c r="D90" s="6">
        <v>467</v>
      </c>
      <c r="E90" s="13">
        <v>2</v>
      </c>
      <c r="F90" s="7">
        <f t="shared" si="1"/>
        <v>20.291220556745181</v>
      </c>
    </row>
    <row r="91" spans="2:6" ht="15" thickBot="1" x14ac:dyDescent="0.4">
      <c r="B91" s="15">
        <v>200</v>
      </c>
      <c r="C91" s="4">
        <v>92</v>
      </c>
      <c r="D91" s="6">
        <v>821</v>
      </c>
      <c r="E91" s="13">
        <v>3</v>
      </c>
      <c r="F91" s="7">
        <f t="shared" si="1"/>
        <v>22.411693057247259</v>
      </c>
    </row>
    <row r="92" spans="2:6" ht="15" thickBot="1" x14ac:dyDescent="0.4">
      <c r="B92" s="15">
        <v>114</v>
      </c>
      <c r="C92" s="4">
        <v>92</v>
      </c>
      <c r="D92" s="6">
        <v>295</v>
      </c>
      <c r="E92" s="13">
        <v>5</v>
      </c>
      <c r="F92" s="7">
        <f t="shared" si="1"/>
        <v>35.552542372881355</v>
      </c>
    </row>
    <row r="93" spans="2:6" ht="15" thickBot="1" x14ac:dyDescent="0.4">
      <c r="B93" s="15">
        <v>124</v>
      </c>
      <c r="C93" s="4">
        <v>92</v>
      </c>
      <c r="D93" s="6">
        <v>461</v>
      </c>
      <c r="E93" s="13">
        <v>9</v>
      </c>
      <c r="F93" s="7">
        <f t="shared" si="1"/>
        <v>24.746203904555315</v>
      </c>
    </row>
    <row r="94" spans="2:6" ht="15" thickBot="1" x14ac:dyDescent="0.4">
      <c r="B94" s="15">
        <v>64</v>
      </c>
      <c r="C94" s="4">
        <v>92</v>
      </c>
      <c r="D94" s="6">
        <v>253</v>
      </c>
      <c r="E94" s="13">
        <v>8</v>
      </c>
      <c r="F94" s="7">
        <f t="shared" si="1"/>
        <v>23.272727272727273</v>
      </c>
    </row>
    <row r="95" spans="2:6" ht="15" thickBot="1" x14ac:dyDescent="0.4">
      <c r="B95" s="15">
        <v>43</v>
      </c>
      <c r="C95" s="4">
        <v>92</v>
      </c>
      <c r="D95" s="6">
        <v>93</v>
      </c>
      <c r="E95" s="13">
        <v>10</v>
      </c>
      <c r="F95" s="7">
        <f t="shared" si="1"/>
        <v>42.537634408602152</v>
      </c>
    </row>
    <row r="96" spans="2:6" ht="15" thickBot="1" x14ac:dyDescent="0.4">
      <c r="B96" s="15">
        <v>32</v>
      </c>
      <c r="C96" s="4">
        <v>92</v>
      </c>
      <c r="D96" s="6">
        <v>85</v>
      </c>
      <c r="E96" s="13">
        <v>2</v>
      </c>
      <c r="F96" s="7">
        <f t="shared" si="1"/>
        <v>34.635294117647057</v>
      </c>
    </row>
    <row r="97" spans="2:6" ht="15" thickBot="1" x14ac:dyDescent="0.4">
      <c r="B97" s="15">
        <v>105</v>
      </c>
      <c r="C97" s="4">
        <v>92</v>
      </c>
      <c r="D97" s="6">
        <v>320</v>
      </c>
      <c r="E97" s="13">
        <v>6</v>
      </c>
      <c r="F97" s="7">
        <f t="shared" si="1"/>
        <v>30.1875</v>
      </c>
    </row>
    <row r="98" spans="2:6" ht="15" thickBot="1" x14ac:dyDescent="0.4">
      <c r="B98" s="15">
        <v>31</v>
      </c>
      <c r="C98" s="4">
        <v>92</v>
      </c>
      <c r="D98" s="6">
        <v>103</v>
      </c>
      <c r="E98" s="13">
        <v>3</v>
      </c>
      <c r="F98" s="7">
        <f t="shared" si="1"/>
        <v>27.689320388349515</v>
      </c>
    </row>
    <row r="99" spans="2:6" ht="15" thickBot="1" x14ac:dyDescent="0.4">
      <c r="B99" s="15">
        <v>198</v>
      </c>
      <c r="C99" s="4">
        <v>92</v>
      </c>
      <c r="D99" s="6">
        <v>610</v>
      </c>
      <c r="E99" s="13">
        <v>2</v>
      </c>
      <c r="F99" s="7">
        <f t="shared" si="1"/>
        <v>29.862295081967215</v>
      </c>
    </row>
    <row r="100" spans="2:6" ht="15" thickBot="1" x14ac:dyDescent="0.4">
      <c r="B100" s="15">
        <v>140</v>
      </c>
      <c r="C100" s="4">
        <v>92</v>
      </c>
      <c r="D100" s="6">
        <v>517</v>
      </c>
      <c r="E100" s="13">
        <v>4</v>
      </c>
      <c r="F100" s="7">
        <f t="shared" si="1"/>
        <v>24.912959381044487</v>
      </c>
    </row>
    <row r="101" spans="2:6" ht="15" thickBot="1" x14ac:dyDescent="0.4">
      <c r="B101" s="15">
        <v>63</v>
      </c>
      <c r="C101" s="4">
        <v>92</v>
      </c>
      <c r="D101" s="6">
        <v>203</v>
      </c>
      <c r="E101" s="13">
        <v>10</v>
      </c>
      <c r="F101" s="7">
        <f t="shared" si="1"/>
        <v>28.551724137931036</v>
      </c>
    </row>
    <row r="102" spans="2:6" ht="15" thickBot="1" x14ac:dyDescent="0.4">
      <c r="B102" s="15">
        <v>201</v>
      </c>
      <c r="C102" s="4">
        <v>92</v>
      </c>
      <c r="D102" s="6">
        <v>736</v>
      </c>
      <c r="E102" s="13">
        <v>3</v>
      </c>
      <c r="F102" s="7">
        <f t="shared" si="1"/>
        <v>25.125</v>
      </c>
    </row>
    <row r="103" spans="2:6" ht="15" thickBot="1" x14ac:dyDescent="0.4">
      <c r="B103" s="15">
        <v>191</v>
      </c>
      <c r="C103" s="4">
        <v>92</v>
      </c>
      <c r="D103" s="6">
        <v>501</v>
      </c>
      <c r="E103" s="13">
        <v>4</v>
      </c>
      <c r="F103" s="7">
        <f t="shared" si="1"/>
        <v>35.073852295409182</v>
      </c>
    </row>
    <row r="104" spans="2:6" ht="15" thickBot="1" x14ac:dyDescent="0.4">
      <c r="B104" s="15">
        <v>171</v>
      </c>
      <c r="C104" s="4">
        <v>92</v>
      </c>
      <c r="D104" s="6">
        <v>751</v>
      </c>
      <c r="E104" s="13">
        <v>3</v>
      </c>
      <c r="F104" s="7">
        <f t="shared" si="1"/>
        <v>20.948069241011986</v>
      </c>
    </row>
    <row r="105" spans="2:6" ht="15" thickBot="1" x14ac:dyDescent="0.4">
      <c r="B105" s="15">
        <v>23</v>
      </c>
      <c r="C105" s="4">
        <v>92</v>
      </c>
      <c r="D105" s="6">
        <v>105</v>
      </c>
      <c r="E105" s="13">
        <v>10</v>
      </c>
      <c r="F105" s="7">
        <f t="shared" si="1"/>
        <v>20.152380952380952</v>
      </c>
    </row>
    <row r="106" spans="2:6" ht="15" thickBot="1" x14ac:dyDescent="0.4">
      <c r="B106" s="15">
        <v>165</v>
      </c>
      <c r="C106" s="4">
        <v>92</v>
      </c>
      <c r="D106" s="6">
        <v>483</v>
      </c>
      <c r="E106" s="13">
        <v>8</v>
      </c>
      <c r="F106" s="7">
        <f t="shared" si="1"/>
        <v>31.428571428571427</v>
      </c>
    </row>
    <row r="107" spans="2:6" ht="15" thickBot="1" x14ac:dyDescent="0.4">
      <c r="B107" s="15">
        <v>110</v>
      </c>
      <c r="C107" s="4">
        <v>92</v>
      </c>
      <c r="D107" s="6">
        <v>378</v>
      </c>
      <c r="E107" s="13">
        <v>5</v>
      </c>
      <c r="F107" s="7">
        <f t="shared" si="1"/>
        <v>26.772486772486772</v>
      </c>
    </row>
    <row r="108" spans="2:6" ht="15" thickBot="1" x14ac:dyDescent="0.4">
      <c r="B108" s="15">
        <v>64</v>
      </c>
      <c r="C108" s="4">
        <v>92</v>
      </c>
      <c r="D108" s="6">
        <v>138</v>
      </c>
      <c r="E108" s="13">
        <v>9</v>
      </c>
      <c r="F108" s="7">
        <f t="shared" si="1"/>
        <v>42.666666666666664</v>
      </c>
    </row>
    <row r="109" spans="2:6" ht="15" thickBot="1" x14ac:dyDescent="0.4">
      <c r="B109" s="15">
        <v>63</v>
      </c>
      <c r="C109" s="4">
        <v>92</v>
      </c>
      <c r="D109" s="6">
        <v>218</v>
      </c>
      <c r="E109" s="13">
        <v>2</v>
      </c>
      <c r="F109" s="7">
        <f t="shared" si="1"/>
        <v>26.587155963302752</v>
      </c>
    </row>
    <row r="110" spans="2:6" ht="15" thickBot="1" x14ac:dyDescent="0.4">
      <c r="B110" s="15">
        <v>37</v>
      </c>
      <c r="C110" s="4">
        <v>92</v>
      </c>
      <c r="D110" s="6">
        <v>102</v>
      </c>
      <c r="E110" s="13">
        <v>2</v>
      </c>
      <c r="F110" s="7">
        <f t="shared" si="1"/>
        <v>33.372549019607845</v>
      </c>
    </row>
    <row r="111" spans="2:6" ht="15" thickBot="1" x14ac:dyDescent="0.4">
      <c r="B111" s="15">
        <v>83</v>
      </c>
      <c r="C111" s="4">
        <v>92</v>
      </c>
      <c r="D111" s="6">
        <v>217</v>
      </c>
      <c r="E111" s="13">
        <v>9</v>
      </c>
      <c r="F111" s="7">
        <f t="shared" si="1"/>
        <v>35.1889400921659</v>
      </c>
    </row>
    <row r="112" spans="2:6" ht="15" thickBot="1" x14ac:dyDescent="0.4">
      <c r="B112" s="15">
        <v>34</v>
      </c>
      <c r="C112" s="4">
        <v>92</v>
      </c>
      <c r="D112" s="6">
        <v>112</v>
      </c>
      <c r="E112" s="13">
        <v>7</v>
      </c>
      <c r="F112" s="7">
        <f t="shared" si="1"/>
        <v>27.928571428571427</v>
      </c>
    </row>
    <row r="113" spans="2:6" ht="15" thickBot="1" x14ac:dyDescent="0.4">
      <c r="B113" s="15">
        <v>70</v>
      </c>
      <c r="C113" s="4">
        <v>92</v>
      </c>
      <c r="D113" s="6">
        <v>255</v>
      </c>
      <c r="E113" s="13">
        <v>6</v>
      </c>
      <c r="F113" s="7">
        <f t="shared" si="1"/>
        <v>25.254901960784313</v>
      </c>
    </row>
    <row r="114" spans="2:6" ht="15" thickBot="1" x14ac:dyDescent="0.4">
      <c r="B114" s="15">
        <v>201</v>
      </c>
      <c r="C114" s="4">
        <v>92</v>
      </c>
      <c r="D114" s="6">
        <v>797</v>
      </c>
      <c r="E114" s="13">
        <v>7</v>
      </c>
      <c r="F114" s="7">
        <f t="shared" si="1"/>
        <v>23.202007528230865</v>
      </c>
    </row>
    <row r="115" spans="2:6" ht="15" thickBot="1" x14ac:dyDescent="0.4">
      <c r="B115" s="15">
        <v>32</v>
      </c>
      <c r="C115" s="4">
        <v>92</v>
      </c>
      <c r="D115" s="6">
        <v>75</v>
      </c>
      <c r="E115" s="13">
        <v>4</v>
      </c>
      <c r="F115" s="7">
        <f t="shared" si="1"/>
        <v>39.25333333333333</v>
      </c>
    </row>
    <row r="116" spans="2:6" ht="15" thickBot="1" x14ac:dyDescent="0.4">
      <c r="B116" s="15">
        <v>74</v>
      </c>
      <c r="C116" s="4">
        <v>92</v>
      </c>
      <c r="D116" s="6">
        <v>198</v>
      </c>
      <c r="E116" s="13">
        <v>6</v>
      </c>
      <c r="F116" s="7">
        <f t="shared" si="1"/>
        <v>34.383838383838381</v>
      </c>
    </row>
    <row r="117" spans="2:6" ht="15" thickBot="1" x14ac:dyDescent="0.4">
      <c r="B117" s="15">
        <v>122</v>
      </c>
      <c r="C117" s="4">
        <v>92</v>
      </c>
      <c r="D117" s="6">
        <v>548</v>
      </c>
      <c r="E117" s="13">
        <v>5</v>
      </c>
      <c r="F117" s="7">
        <f t="shared" si="1"/>
        <v>20.481751824817518</v>
      </c>
    </row>
    <row r="118" spans="2:6" ht="15" thickBot="1" x14ac:dyDescent="0.4">
      <c r="B118" s="15">
        <v>201</v>
      </c>
      <c r="C118" s="4">
        <v>92</v>
      </c>
      <c r="D118" s="6">
        <v>577</v>
      </c>
      <c r="E118" s="13">
        <v>6</v>
      </c>
      <c r="F118" s="7">
        <f t="shared" si="1"/>
        <v>32.048526863084923</v>
      </c>
    </row>
    <row r="119" spans="2:6" ht="15" thickBot="1" x14ac:dyDescent="0.4">
      <c r="B119" s="15">
        <v>212</v>
      </c>
      <c r="C119" s="4">
        <v>92</v>
      </c>
      <c r="D119" s="6">
        <v>696</v>
      </c>
      <c r="E119" s="13">
        <v>5</v>
      </c>
      <c r="F119" s="7">
        <f t="shared" si="1"/>
        <v>28.022988505747126</v>
      </c>
    </row>
    <row r="120" spans="2:6" ht="15" thickBot="1" x14ac:dyDescent="0.4">
      <c r="B120" s="15">
        <v>65</v>
      </c>
      <c r="C120" s="4">
        <v>92</v>
      </c>
      <c r="D120" s="6">
        <v>171</v>
      </c>
      <c r="E120" s="13">
        <v>2</v>
      </c>
      <c r="F120" s="7">
        <f t="shared" si="1"/>
        <v>34.970760233918128</v>
      </c>
    </row>
    <row r="121" spans="2:6" ht="15" thickBot="1" x14ac:dyDescent="0.4">
      <c r="B121" s="15">
        <v>45</v>
      </c>
      <c r="C121" s="4">
        <v>92</v>
      </c>
      <c r="D121" s="6">
        <v>178</v>
      </c>
      <c r="E121" s="13">
        <v>9</v>
      </c>
      <c r="F121" s="7">
        <f t="shared" si="1"/>
        <v>23.258426966292134</v>
      </c>
    </row>
    <row r="122" spans="2:6" ht="15" thickBot="1" x14ac:dyDescent="0.4">
      <c r="B122" s="15">
        <v>154</v>
      </c>
      <c r="C122" s="4">
        <v>92</v>
      </c>
      <c r="D122" s="6">
        <v>462</v>
      </c>
      <c r="E122" s="13">
        <v>3</v>
      </c>
      <c r="F122" s="7">
        <f t="shared" si="1"/>
        <v>30.666666666666668</v>
      </c>
    </row>
    <row r="123" spans="2:6" ht="15" thickBot="1" x14ac:dyDescent="0.4">
      <c r="B123" s="15">
        <v>68</v>
      </c>
      <c r="C123" s="4">
        <v>92</v>
      </c>
      <c r="D123" s="6">
        <v>282</v>
      </c>
      <c r="E123" s="13">
        <v>6</v>
      </c>
      <c r="F123" s="7">
        <f t="shared" si="1"/>
        <v>22.184397163120568</v>
      </c>
    </row>
    <row r="124" spans="2:6" ht="15" thickBot="1" x14ac:dyDescent="0.4">
      <c r="B124" s="15">
        <v>122</v>
      </c>
      <c r="C124" s="4">
        <v>92</v>
      </c>
      <c r="D124" s="6">
        <v>266</v>
      </c>
      <c r="E124" s="13">
        <v>2</v>
      </c>
      <c r="F124" s="7">
        <f t="shared" si="1"/>
        <v>42.195488721804509</v>
      </c>
    </row>
    <row r="125" spans="2:6" ht="15" thickBot="1" x14ac:dyDescent="0.4">
      <c r="B125" s="15">
        <v>158</v>
      </c>
      <c r="C125" s="4">
        <v>92</v>
      </c>
      <c r="D125" s="6">
        <v>550</v>
      </c>
      <c r="E125" s="13">
        <v>2</v>
      </c>
      <c r="F125" s="7">
        <f t="shared" si="1"/>
        <v>26.42909090909091</v>
      </c>
    </row>
    <row r="126" spans="2:6" ht="15" thickBot="1" x14ac:dyDescent="0.4">
      <c r="B126" s="15">
        <v>105</v>
      </c>
      <c r="C126" s="4">
        <v>92</v>
      </c>
      <c r="D126" s="6">
        <v>388</v>
      </c>
      <c r="E126" s="13">
        <v>5</v>
      </c>
      <c r="F126" s="7">
        <f t="shared" si="1"/>
        <v>24.896907216494846</v>
      </c>
    </row>
    <row r="127" spans="2:6" ht="15" thickBot="1" x14ac:dyDescent="0.4">
      <c r="B127" s="15">
        <v>39</v>
      </c>
      <c r="C127" s="4">
        <v>92</v>
      </c>
      <c r="D127" s="6">
        <v>140</v>
      </c>
      <c r="E127" s="13">
        <v>4</v>
      </c>
      <c r="F127" s="7">
        <f t="shared" si="1"/>
        <v>25.62857142857143</v>
      </c>
    </row>
    <row r="128" spans="2:6" ht="15" thickBot="1" x14ac:dyDescent="0.4">
      <c r="B128" s="15">
        <v>199</v>
      </c>
      <c r="C128" s="4">
        <v>92</v>
      </c>
      <c r="D128" s="6">
        <v>619</v>
      </c>
      <c r="E128" s="13">
        <v>5</v>
      </c>
      <c r="F128" s="7">
        <f t="shared" si="1"/>
        <v>29.576736672051695</v>
      </c>
    </row>
    <row r="129" spans="2:6" ht="15" thickBot="1" x14ac:dyDescent="0.4">
      <c r="B129" s="15">
        <v>37</v>
      </c>
      <c r="C129" s="4">
        <v>92</v>
      </c>
      <c r="D129" s="6">
        <v>127</v>
      </c>
      <c r="E129" s="13">
        <v>3</v>
      </c>
      <c r="F129" s="7">
        <f t="shared" si="1"/>
        <v>26.803149606299211</v>
      </c>
    </row>
    <row r="130" spans="2:6" ht="15" thickBot="1" x14ac:dyDescent="0.4">
      <c r="B130" s="15">
        <v>60</v>
      </c>
      <c r="C130" s="4">
        <v>92</v>
      </c>
      <c r="D130" s="6">
        <v>143</v>
      </c>
      <c r="E130" s="13">
        <v>6</v>
      </c>
      <c r="F130" s="7">
        <f t="shared" si="1"/>
        <v>38.6013986013986</v>
      </c>
    </row>
    <row r="131" spans="2:6" ht="15" thickBot="1" x14ac:dyDescent="0.4">
      <c r="B131" s="15">
        <v>32</v>
      </c>
      <c r="C131" s="4">
        <v>92</v>
      </c>
      <c r="D131" s="6">
        <v>94</v>
      </c>
      <c r="E131" s="13">
        <v>3</v>
      </c>
      <c r="F131" s="7">
        <f t="shared" ref="F131:F190" si="2">((B131*C131)/D131)</f>
        <v>31.319148936170212</v>
      </c>
    </row>
    <row r="132" spans="2:6" ht="15" thickBot="1" x14ac:dyDescent="0.4">
      <c r="B132" s="15">
        <v>100</v>
      </c>
      <c r="C132" s="4">
        <v>92</v>
      </c>
      <c r="D132" s="6">
        <v>247</v>
      </c>
      <c r="E132" s="13">
        <v>6</v>
      </c>
      <c r="F132" s="7">
        <f t="shared" si="2"/>
        <v>37.246963562753038</v>
      </c>
    </row>
    <row r="133" spans="2:6" ht="15" thickBot="1" x14ac:dyDescent="0.4">
      <c r="B133" s="15">
        <v>32</v>
      </c>
      <c r="C133" s="4">
        <v>92</v>
      </c>
      <c r="D133" s="6">
        <v>75</v>
      </c>
      <c r="E133" s="13">
        <v>9</v>
      </c>
      <c r="F133" s="7">
        <f t="shared" si="2"/>
        <v>39.25333333333333</v>
      </c>
    </row>
    <row r="134" spans="2:6" ht="15" thickBot="1" x14ac:dyDescent="0.4">
      <c r="B134" s="15">
        <v>89</v>
      </c>
      <c r="C134" s="4">
        <v>92</v>
      </c>
      <c r="D134" s="6">
        <v>204</v>
      </c>
      <c r="E134" s="13">
        <v>6</v>
      </c>
      <c r="F134" s="7">
        <f t="shared" si="2"/>
        <v>40.137254901960787</v>
      </c>
    </row>
    <row r="135" spans="2:6" ht="15" thickBot="1" x14ac:dyDescent="0.4">
      <c r="B135" s="15">
        <v>29</v>
      </c>
      <c r="C135" s="4">
        <v>92</v>
      </c>
      <c r="D135" s="6">
        <v>79</v>
      </c>
      <c r="E135" s="13">
        <v>9</v>
      </c>
      <c r="F135" s="7">
        <f t="shared" si="2"/>
        <v>33.77215189873418</v>
      </c>
    </row>
    <row r="136" spans="2:6" ht="15" thickBot="1" x14ac:dyDescent="0.4">
      <c r="B136" s="15">
        <v>19</v>
      </c>
      <c r="C136" s="4">
        <v>92</v>
      </c>
      <c r="D136" s="6">
        <v>51</v>
      </c>
      <c r="E136" s="13">
        <v>6</v>
      </c>
      <c r="F136" s="7">
        <f t="shared" si="2"/>
        <v>34.274509803921568</v>
      </c>
    </row>
    <row r="137" spans="2:6" ht="15" thickBot="1" x14ac:dyDescent="0.4">
      <c r="B137" s="15">
        <v>74</v>
      </c>
      <c r="C137" s="4">
        <v>92</v>
      </c>
      <c r="D137" s="6">
        <v>154</v>
      </c>
      <c r="E137" s="13">
        <v>4</v>
      </c>
      <c r="F137" s="7">
        <f t="shared" si="2"/>
        <v>44.20779220779221</v>
      </c>
    </row>
    <row r="138" spans="2:6" ht="15" thickBot="1" x14ac:dyDescent="0.4">
      <c r="B138" s="15">
        <v>204</v>
      </c>
      <c r="C138" s="4">
        <v>92</v>
      </c>
      <c r="D138" s="6">
        <v>743</v>
      </c>
      <c r="E138" s="13">
        <v>4</v>
      </c>
      <c r="F138" s="7">
        <f t="shared" si="2"/>
        <v>25.259757738896365</v>
      </c>
    </row>
    <row r="139" spans="2:6" ht="15" thickBot="1" x14ac:dyDescent="0.4">
      <c r="B139" s="15">
        <v>207</v>
      </c>
      <c r="C139" s="4">
        <v>92</v>
      </c>
      <c r="D139" s="6">
        <v>849</v>
      </c>
      <c r="E139" s="13">
        <v>10</v>
      </c>
      <c r="F139" s="7">
        <f t="shared" si="2"/>
        <v>22.431095406360424</v>
      </c>
    </row>
    <row r="140" spans="2:6" ht="15" thickBot="1" x14ac:dyDescent="0.4">
      <c r="B140" s="15">
        <v>39</v>
      </c>
      <c r="C140" s="4">
        <v>92</v>
      </c>
      <c r="D140" s="6">
        <v>111</v>
      </c>
      <c r="E140" s="13">
        <v>2</v>
      </c>
      <c r="F140" s="7">
        <f t="shared" si="2"/>
        <v>32.324324324324323</v>
      </c>
    </row>
    <row r="141" spans="2:6" ht="15" thickBot="1" x14ac:dyDescent="0.4">
      <c r="B141" s="15">
        <v>19</v>
      </c>
      <c r="C141" s="4">
        <v>92</v>
      </c>
      <c r="D141" s="6">
        <v>51</v>
      </c>
      <c r="E141" s="13">
        <v>7</v>
      </c>
      <c r="F141" s="7">
        <f t="shared" si="2"/>
        <v>34.274509803921568</v>
      </c>
    </row>
    <row r="142" spans="2:6" ht="15" thickBot="1" x14ac:dyDescent="0.4">
      <c r="B142" s="15">
        <v>51</v>
      </c>
      <c r="C142" s="4">
        <v>92</v>
      </c>
      <c r="D142" s="6">
        <v>228</v>
      </c>
      <c r="E142" s="13">
        <v>4</v>
      </c>
      <c r="F142" s="7">
        <f t="shared" si="2"/>
        <v>20.578947368421051</v>
      </c>
    </row>
    <row r="143" spans="2:6" ht="15" thickBot="1" x14ac:dyDescent="0.4">
      <c r="B143" s="15">
        <v>37</v>
      </c>
      <c r="C143" s="4">
        <v>92</v>
      </c>
      <c r="D143" s="6">
        <v>114</v>
      </c>
      <c r="E143" s="13">
        <v>4</v>
      </c>
      <c r="F143" s="7">
        <f t="shared" si="2"/>
        <v>29.859649122807017</v>
      </c>
    </row>
    <row r="144" spans="2:6" ht="15" thickBot="1" x14ac:dyDescent="0.4">
      <c r="B144" s="15">
        <v>36</v>
      </c>
      <c r="C144" s="4">
        <v>92</v>
      </c>
      <c r="D144" s="6">
        <v>111</v>
      </c>
      <c r="E144" s="13">
        <v>8</v>
      </c>
      <c r="F144" s="7">
        <f t="shared" si="2"/>
        <v>29.837837837837839</v>
      </c>
    </row>
    <row r="145" spans="2:6" ht="15" thickBot="1" x14ac:dyDescent="0.4">
      <c r="B145" s="15">
        <v>82</v>
      </c>
      <c r="C145" s="4">
        <v>92</v>
      </c>
      <c r="D145" s="6">
        <v>228</v>
      </c>
      <c r="E145" s="13">
        <v>6</v>
      </c>
      <c r="F145" s="7">
        <f t="shared" si="2"/>
        <v>33.087719298245617</v>
      </c>
    </row>
    <row r="146" spans="2:6" ht="15" thickBot="1" x14ac:dyDescent="0.4">
      <c r="B146" s="15">
        <v>61</v>
      </c>
      <c r="C146" s="4">
        <v>92</v>
      </c>
      <c r="D146" s="6">
        <v>143</v>
      </c>
      <c r="E146" s="13">
        <v>2</v>
      </c>
      <c r="F146" s="7">
        <f t="shared" si="2"/>
        <v>39.244755244755247</v>
      </c>
    </row>
    <row r="147" spans="2:6" ht="15" thickBot="1" x14ac:dyDescent="0.4">
      <c r="B147" s="15">
        <v>98</v>
      </c>
      <c r="C147" s="4">
        <v>92</v>
      </c>
      <c r="D147" s="6">
        <v>208</v>
      </c>
      <c r="E147" s="13">
        <v>8</v>
      </c>
      <c r="F147" s="7">
        <f t="shared" si="2"/>
        <v>43.346153846153847</v>
      </c>
    </row>
    <row r="148" spans="2:6" ht="15" thickBot="1" x14ac:dyDescent="0.4">
      <c r="B148" s="15">
        <v>108</v>
      </c>
      <c r="C148" s="4">
        <v>92</v>
      </c>
      <c r="D148" s="6">
        <v>253</v>
      </c>
      <c r="E148" s="13">
        <v>6</v>
      </c>
      <c r="F148" s="7">
        <f t="shared" si="2"/>
        <v>39.272727272727273</v>
      </c>
    </row>
    <row r="149" spans="2:6" ht="15" thickBot="1" x14ac:dyDescent="0.4">
      <c r="B149" s="15">
        <v>58</v>
      </c>
      <c r="C149" s="4">
        <v>92</v>
      </c>
      <c r="D149" s="6">
        <v>144</v>
      </c>
      <c r="E149" s="13">
        <v>10</v>
      </c>
      <c r="F149" s="7">
        <f t="shared" si="2"/>
        <v>37.055555555555557</v>
      </c>
    </row>
    <row r="150" spans="2:6" ht="15" thickBot="1" x14ac:dyDescent="0.4">
      <c r="B150" s="15">
        <v>204</v>
      </c>
      <c r="C150" s="4">
        <v>92</v>
      </c>
      <c r="D150" s="6">
        <v>547</v>
      </c>
      <c r="E150" s="13">
        <v>8</v>
      </c>
      <c r="F150" s="7">
        <f t="shared" si="2"/>
        <v>34.310786106032907</v>
      </c>
    </row>
    <row r="151" spans="2:6" ht="15" thickBot="1" x14ac:dyDescent="0.4">
      <c r="B151" s="15">
        <v>57</v>
      </c>
      <c r="C151" s="4">
        <v>92</v>
      </c>
      <c r="D151" s="6">
        <v>164</v>
      </c>
      <c r="E151" s="13">
        <v>10</v>
      </c>
      <c r="F151" s="7">
        <f t="shared" si="2"/>
        <v>31.975609756097562</v>
      </c>
    </row>
    <row r="152" spans="2:6" ht="15" thickBot="1" x14ac:dyDescent="0.4">
      <c r="B152" s="15">
        <v>57</v>
      </c>
      <c r="C152" s="4">
        <v>92</v>
      </c>
      <c r="D152" s="6">
        <v>190</v>
      </c>
      <c r="E152" s="13">
        <v>4</v>
      </c>
      <c r="F152" s="7">
        <f t="shared" si="2"/>
        <v>27.6</v>
      </c>
    </row>
    <row r="153" spans="2:6" ht="15" thickBot="1" x14ac:dyDescent="0.4">
      <c r="B153" s="15">
        <v>189</v>
      </c>
      <c r="C153" s="4">
        <v>92</v>
      </c>
      <c r="D153" s="6">
        <v>664</v>
      </c>
      <c r="E153" s="13">
        <v>9</v>
      </c>
      <c r="F153" s="7">
        <f t="shared" si="2"/>
        <v>26.186746987951807</v>
      </c>
    </row>
    <row r="154" spans="2:6" ht="15" thickBot="1" x14ac:dyDescent="0.4">
      <c r="B154" s="15">
        <v>205</v>
      </c>
      <c r="C154" s="4">
        <v>92</v>
      </c>
      <c r="D154" s="6">
        <v>787</v>
      </c>
      <c r="E154" s="13">
        <v>6</v>
      </c>
      <c r="F154" s="7">
        <f t="shared" si="2"/>
        <v>23.964421855146124</v>
      </c>
    </row>
    <row r="155" spans="2:6" ht="15" thickBot="1" x14ac:dyDescent="0.4">
      <c r="B155" s="15">
        <v>57</v>
      </c>
      <c r="C155" s="4">
        <v>92</v>
      </c>
      <c r="D155" s="6">
        <v>158</v>
      </c>
      <c r="E155" s="13">
        <v>7</v>
      </c>
      <c r="F155" s="7">
        <f t="shared" si="2"/>
        <v>33.189873417721522</v>
      </c>
    </row>
    <row r="156" spans="2:6" ht="15" thickBot="1" x14ac:dyDescent="0.4">
      <c r="B156" s="15">
        <v>33</v>
      </c>
      <c r="C156" s="4">
        <v>92</v>
      </c>
      <c r="D156" s="6">
        <v>117</v>
      </c>
      <c r="E156" s="13">
        <v>5</v>
      </c>
      <c r="F156" s="7">
        <f t="shared" si="2"/>
        <v>25.948717948717949</v>
      </c>
    </row>
    <row r="157" spans="2:6" ht="15" thickBot="1" x14ac:dyDescent="0.4">
      <c r="B157" s="15">
        <v>192</v>
      </c>
      <c r="C157" s="4">
        <v>92</v>
      </c>
      <c r="D157" s="6">
        <v>633</v>
      </c>
      <c r="E157" s="13">
        <v>3</v>
      </c>
      <c r="F157" s="7">
        <f t="shared" si="2"/>
        <v>27.90521327014218</v>
      </c>
    </row>
    <row r="158" spans="2:6" ht="15" thickBot="1" x14ac:dyDescent="0.4">
      <c r="B158" s="15">
        <v>127</v>
      </c>
      <c r="C158" s="4">
        <v>92</v>
      </c>
      <c r="D158" s="6">
        <v>387</v>
      </c>
      <c r="E158" s="13">
        <v>6</v>
      </c>
      <c r="F158" s="7">
        <f t="shared" si="2"/>
        <v>30.191214470284237</v>
      </c>
    </row>
    <row r="159" spans="2:6" ht="15" thickBot="1" x14ac:dyDescent="0.4">
      <c r="B159" s="15">
        <v>68</v>
      </c>
      <c r="C159" s="4">
        <v>92</v>
      </c>
      <c r="D159" s="6">
        <v>280</v>
      </c>
      <c r="E159" s="13">
        <v>2</v>
      </c>
      <c r="F159" s="7">
        <f t="shared" si="2"/>
        <v>22.342857142857142</v>
      </c>
    </row>
    <row r="160" spans="2:6" ht="15" thickBot="1" x14ac:dyDescent="0.4">
      <c r="B160" s="15">
        <v>61</v>
      </c>
      <c r="C160" s="4">
        <v>92</v>
      </c>
      <c r="D160" s="6">
        <v>139</v>
      </c>
      <c r="E160" s="13">
        <v>4</v>
      </c>
      <c r="F160" s="7">
        <f t="shared" si="2"/>
        <v>40.374100719424462</v>
      </c>
    </row>
    <row r="161" spans="2:6" ht="15" thickBot="1" x14ac:dyDescent="0.4">
      <c r="B161" s="15">
        <v>219</v>
      </c>
      <c r="C161" s="4">
        <v>92</v>
      </c>
      <c r="D161" s="6">
        <v>603</v>
      </c>
      <c r="E161" s="13">
        <v>4</v>
      </c>
      <c r="F161" s="7">
        <f t="shared" si="2"/>
        <v>33.412935323383081</v>
      </c>
    </row>
    <row r="162" spans="2:6" ht="15" thickBot="1" x14ac:dyDescent="0.4">
      <c r="B162" s="15">
        <v>83</v>
      </c>
      <c r="C162" s="4">
        <v>92</v>
      </c>
      <c r="D162" s="6">
        <v>288</v>
      </c>
      <c r="E162" s="13">
        <v>3</v>
      </c>
      <c r="F162" s="7">
        <f t="shared" si="2"/>
        <v>26.513888888888889</v>
      </c>
    </row>
    <row r="163" spans="2:6" ht="15" thickBot="1" x14ac:dyDescent="0.4">
      <c r="B163" s="15">
        <v>69</v>
      </c>
      <c r="C163" s="4">
        <v>92</v>
      </c>
      <c r="D163" s="6">
        <v>249</v>
      </c>
      <c r="E163" s="13">
        <v>7</v>
      </c>
      <c r="F163" s="7">
        <f t="shared" si="2"/>
        <v>25.493975903614459</v>
      </c>
    </row>
    <row r="164" spans="2:6" ht="15" thickBot="1" x14ac:dyDescent="0.4">
      <c r="B164" s="15">
        <v>148</v>
      </c>
      <c r="C164" s="4">
        <v>92</v>
      </c>
      <c r="D164" s="6">
        <v>304</v>
      </c>
      <c r="E164" s="13">
        <v>9</v>
      </c>
      <c r="F164" s="7">
        <f t="shared" si="2"/>
        <v>44.789473684210527</v>
      </c>
    </row>
    <row r="165" spans="2:6" ht="15" thickBot="1" x14ac:dyDescent="0.4">
      <c r="B165" s="15">
        <v>143</v>
      </c>
      <c r="C165" s="4">
        <v>92</v>
      </c>
      <c r="D165" s="6">
        <v>416</v>
      </c>
      <c r="E165" s="13">
        <v>8</v>
      </c>
      <c r="F165" s="7">
        <f t="shared" si="2"/>
        <v>31.625</v>
      </c>
    </row>
    <row r="166" spans="2:6" ht="15" thickBot="1" x14ac:dyDescent="0.4">
      <c r="B166" s="15">
        <v>39</v>
      </c>
      <c r="C166" s="4">
        <v>92</v>
      </c>
      <c r="D166" s="6">
        <v>141</v>
      </c>
      <c r="E166" s="13">
        <v>8</v>
      </c>
      <c r="F166" s="7">
        <f t="shared" si="2"/>
        <v>25.446808510638299</v>
      </c>
    </row>
    <row r="167" spans="2:6" ht="15" thickBot="1" x14ac:dyDescent="0.4">
      <c r="B167" s="15">
        <v>68</v>
      </c>
      <c r="C167" s="4">
        <v>92</v>
      </c>
      <c r="D167" s="6">
        <v>214</v>
      </c>
      <c r="E167" s="13">
        <v>3</v>
      </c>
      <c r="F167" s="7">
        <f t="shared" si="2"/>
        <v>29.233644859813083</v>
      </c>
    </row>
    <row r="168" spans="2:6" ht="15" thickBot="1" x14ac:dyDescent="0.4">
      <c r="B168" s="15">
        <v>96</v>
      </c>
      <c r="C168" s="4">
        <v>92</v>
      </c>
      <c r="D168" s="6">
        <v>374</v>
      </c>
      <c r="E168" s="13">
        <v>3</v>
      </c>
      <c r="F168" s="7">
        <f t="shared" si="2"/>
        <v>23.614973262032084</v>
      </c>
    </row>
    <row r="169" spans="2:6" ht="15" thickBot="1" x14ac:dyDescent="0.4">
      <c r="B169" s="15">
        <v>25</v>
      </c>
      <c r="C169" s="4">
        <v>92</v>
      </c>
      <c r="D169" s="6">
        <v>53</v>
      </c>
      <c r="E169" s="13">
        <v>6</v>
      </c>
      <c r="F169" s="7">
        <f t="shared" si="2"/>
        <v>43.39622641509434</v>
      </c>
    </row>
    <row r="170" spans="2:6" ht="15" thickBot="1" x14ac:dyDescent="0.4">
      <c r="B170" s="15">
        <v>70</v>
      </c>
      <c r="C170" s="4">
        <v>92</v>
      </c>
      <c r="D170" s="6">
        <v>163</v>
      </c>
      <c r="E170" s="13">
        <v>7</v>
      </c>
      <c r="F170" s="7">
        <f t="shared" si="2"/>
        <v>39.509202453987733</v>
      </c>
    </row>
    <row r="171" spans="2:6" ht="15" thickBot="1" x14ac:dyDescent="0.4">
      <c r="B171" s="15">
        <v>83</v>
      </c>
      <c r="C171" s="4">
        <v>92</v>
      </c>
      <c r="D171" s="6">
        <v>303</v>
      </c>
      <c r="E171" s="13">
        <v>6</v>
      </c>
      <c r="F171" s="7">
        <f t="shared" si="2"/>
        <v>25.201320132013201</v>
      </c>
    </row>
    <row r="172" spans="2:6" ht="15" thickBot="1" x14ac:dyDescent="0.4">
      <c r="B172" s="15">
        <v>78</v>
      </c>
      <c r="C172" s="4">
        <v>92</v>
      </c>
      <c r="D172" s="6">
        <v>184</v>
      </c>
      <c r="E172" s="13">
        <v>8</v>
      </c>
      <c r="F172" s="7">
        <f t="shared" si="2"/>
        <v>39</v>
      </c>
    </row>
    <row r="173" spans="2:6" ht="15" thickBot="1" x14ac:dyDescent="0.4">
      <c r="B173" s="15">
        <v>41</v>
      </c>
      <c r="C173" s="4">
        <v>92</v>
      </c>
      <c r="D173" s="6">
        <v>182</v>
      </c>
      <c r="E173" s="13">
        <v>3</v>
      </c>
      <c r="F173" s="7">
        <f t="shared" si="2"/>
        <v>20.725274725274726</v>
      </c>
    </row>
    <row r="174" spans="2:6" ht="15" thickBot="1" x14ac:dyDescent="0.4">
      <c r="B174" s="15">
        <v>195</v>
      </c>
      <c r="C174" s="4">
        <v>92</v>
      </c>
      <c r="D174" s="6">
        <v>616</v>
      </c>
      <c r="E174" s="13">
        <v>7</v>
      </c>
      <c r="F174" s="7">
        <f t="shared" si="2"/>
        <v>29.123376623376622</v>
      </c>
    </row>
    <row r="175" spans="2:6" ht="15" thickBot="1" x14ac:dyDescent="0.4">
      <c r="B175" s="15">
        <v>39</v>
      </c>
      <c r="C175" s="4">
        <v>92</v>
      </c>
      <c r="D175" s="6">
        <v>149</v>
      </c>
      <c r="E175" s="13">
        <v>6</v>
      </c>
      <c r="F175" s="7">
        <f t="shared" si="2"/>
        <v>24.080536912751679</v>
      </c>
    </row>
    <row r="176" spans="2:6" ht="15" thickBot="1" x14ac:dyDescent="0.4">
      <c r="B176" s="15">
        <v>73</v>
      </c>
      <c r="C176" s="4">
        <v>92</v>
      </c>
      <c r="D176" s="6">
        <v>260</v>
      </c>
      <c r="E176" s="13">
        <v>2</v>
      </c>
      <c r="F176" s="7">
        <f t="shared" si="2"/>
        <v>25.830769230769231</v>
      </c>
    </row>
    <row r="177" spans="2:6" ht="15" thickBot="1" x14ac:dyDescent="0.4">
      <c r="B177" s="15">
        <v>67</v>
      </c>
      <c r="C177" s="4">
        <v>92</v>
      </c>
      <c r="D177" s="6">
        <v>151</v>
      </c>
      <c r="E177" s="13">
        <v>3</v>
      </c>
      <c r="F177" s="7">
        <f t="shared" si="2"/>
        <v>40.82119205298013</v>
      </c>
    </row>
    <row r="178" spans="2:6" ht="15" thickBot="1" x14ac:dyDescent="0.4">
      <c r="B178" s="15">
        <v>94</v>
      </c>
      <c r="C178" s="4">
        <v>92</v>
      </c>
      <c r="D178" s="6">
        <v>284</v>
      </c>
      <c r="E178" s="13">
        <v>5</v>
      </c>
      <c r="F178" s="7">
        <f t="shared" si="2"/>
        <v>30.450704225352112</v>
      </c>
    </row>
    <row r="179" spans="2:6" ht="15" thickBot="1" x14ac:dyDescent="0.4">
      <c r="B179" s="15">
        <v>173</v>
      </c>
      <c r="C179" s="4">
        <v>92</v>
      </c>
      <c r="D179" s="6">
        <v>484</v>
      </c>
      <c r="E179" s="13">
        <v>6</v>
      </c>
      <c r="F179" s="7">
        <f t="shared" si="2"/>
        <v>32.884297520661157</v>
      </c>
    </row>
    <row r="180" spans="2:6" ht="15" thickBot="1" x14ac:dyDescent="0.4">
      <c r="B180" s="15">
        <v>272</v>
      </c>
      <c r="C180" s="4">
        <v>92</v>
      </c>
      <c r="D180" s="6">
        <v>991</v>
      </c>
      <c r="E180" s="13">
        <v>8</v>
      </c>
      <c r="F180" s="7">
        <f t="shared" si="2"/>
        <v>25.251261352169525</v>
      </c>
    </row>
    <row r="181" spans="2:6" ht="15" thickBot="1" x14ac:dyDescent="0.4">
      <c r="B181" s="15">
        <v>52</v>
      </c>
      <c r="C181" s="4">
        <v>92</v>
      </c>
      <c r="D181" s="6">
        <v>164</v>
      </c>
      <c r="E181" s="13">
        <v>2</v>
      </c>
      <c r="F181" s="7">
        <f t="shared" si="2"/>
        <v>29.170731707317074</v>
      </c>
    </row>
    <row r="182" spans="2:6" ht="15" thickBot="1" x14ac:dyDescent="0.4">
      <c r="B182" s="15">
        <v>198</v>
      </c>
      <c r="C182" s="4">
        <v>92</v>
      </c>
      <c r="D182" s="6">
        <v>738</v>
      </c>
      <c r="E182" s="13">
        <v>3</v>
      </c>
      <c r="F182" s="7">
        <f t="shared" si="2"/>
        <v>24.682926829268293</v>
      </c>
    </row>
    <row r="183" spans="2:6" ht="15" thickBot="1" x14ac:dyDescent="0.4">
      <c r="B183" s="15">
        <v>23</v>
      </c>
      <c r="C183" s="4">
        <v>92</v>
      </c>
      <c r="D183" s="6">
        <v>89</v>
      </c>
      <c r="E183" s="13">
        <v>7</v>
      </c>
      <c r="F183" s="7">
        <f t="shared" si="2"/>
        <v>23.775280898876403</v>
      </c>
    </row>
    <row r="184" spans="2:6" ht="15" thickBot="1" x14ac:dyDescent="0.4">
      <c r="B184" s="15">
        <v>194</v>
      </c>
      <c r="C184" s="4">
        <v>92</v>
      </c>
      <c r="D184" s="6">
        <v>746</v>
      </c>
      <c r="E184" s="13">
        <v>3</v>
      </c>
      <c r="F184" s="7">
        <f t="shared" si="2"/>
        <v>23.924932975871315</v>
      </c>
    </row>
    <row r="185" spans="2:6" ht="15" thickBot="1" x14ac:dyDescent="0.4">
      <c r="B185" s="15">
        <v>32</v>
      </c>
      <c r="C185" s="4">
        <v>92</v>
      </c>
      <c r="D185" s="6">
        <v>69</v>
      </c>
      <c r="E185" s="13">
        <v>3</v>
      </c>
      <c r="F185" s="7">
        <f t="shared" si="2"/>
        <v>42.666666666666664</v>
      </c>
    </row>
    <row r="186" spans="2:6" ht="15" thickBot="1" x14ac:dyDescent="0.4">
      <c r="B186" s="15">
        <v>128</v>
      </c>
      <c r="C186" s="4">
        <v>92</v>
      </c>
      <c r="D186" s="6">
        <v>268</v>
      </c>
      <c r="E186" s="13">
        <v>6</v>
      </c>
      <c r="F186" s="7">
        <f t="shared" si="2"/>
        <v>43.940298507462686</v>
      </c>
    </row>
    <row r="187" spans="2:6" ht="15" thickBot="1" x14ac:dyDescent="0.4">
      <c r="B187" s="15">
        <v>73</v>
      </c>
      <c r="C187" s="4">
        <v>92</v>
      </c>
      <c r="D187" s="6">
        <v>186</v>
      </c>
      <c r="E187" s="13">
        <v>7</v>
      </c>
      <c r="F187" s="7">
        <f t="shared" si="2"/>
        <v>36.107526881720432</v>
      </c>
    </row>
    <row r="188" spans="2:6" ht="15" thickBot="1" x14ac:dyDescent="0.4">
      <c r="B188" s="15">
        <v>77</v>
      </c>
      <c r="C188" s="4">
        <v>92</v>
      </c>
      <c r="D188" s="6">
        <v>211</v>
      </c>
      <c r="E188" s="13">
        <v>10</v>
      </c>
      <c r="F188" s="7">
        <f t="shared" si="2"/>
        <v>33.573459715639814</v>
      </c>
    </row>
    <row r="189" spans="2:6" ht="15" thickBot="1" x14ac:dyDescent="0.4">
      <c r="B189" s="15">
        <v>85</v>
      </c>
      <c r="C189" s="4">
        <v>92</v>
      </c>
      <c r="D189" s="6">
        <v>254</v>
      </c>
      <c r="E189" s="13">
        <v>2</v>
      </c>
      <c r="F189" s="7">
        <f t="shared" si="2"/>
        <v>30.787401574803148</v>
      </c>
    </row>
    <row r="190" spans="2:6" ht="15" thickBot="1" x14ac:dyDescent="0.4">
      <c r="B190" s="15">
        <v>117</v>
      </c>
      <c r="C190" s="4">
        <v>92</v>
      </c>
      <c r="D190" s="6">
        <v>393</v>
      </c>
      <c r="E190" s="13">
        <v>10</v>
      </c>
      <c r="F190" s="7">
        <f t="shared" si="2"/>
        <v>27.389312977099237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90"/>
  <sheetViews>
    <sheetView topLeftCell="A171" workbookViewId="0">
      <selection activeCell="D2" sqref="D2:D190"/>
    </sheetView>
  </sheetViews>
  <sheetFormatPr defaultColWidth="9.1796875" defaultRowHeight="14.5" x14ac:dyDescent="0.35"/>
  <sheetData>
    <row r="1" spans="2:4" ht="15" thickBot="1" x14ac:dyDescent="0.4">
      <c r="C1" t="s">
        <v>229</v>
      </c>
    </row>
    <row r="2" spans="2:4" ht="15" thickBot="1" x14ac:dyDescent="0.4">
      <c r="B2" s="5">
        <v>164</v>
      </c>
      <c r="C2" s="8">
        <v>92</v>
      </c>
      <c r="D2" s="7">
        <f>B2/C2</f>
        <v>1.7826086956521738</v>
      </c>
    </row>
    <row r="3" spans="2:4" ht="15" thickBot="1" x14ac:dyDescent="0.4">
      <c r="B3" s="6">
        <v>148</v>
      </c>
      <c r="C3" s="9">
        <v>92</v>
      </c>
      <c r="D3" s="7">
        <f t="shared" ref="D3:D66" si="0">B3/C3</f>
        <v>1.6086956521739131</v>
      </c>
    </row>
    <row r="4" spans="2:4" ht="15" thickBot="1" x14ac:dyDescent="0.4">
      <c r="B4" s="6">
        <v>182</v>
      </c>
      <c r="C4" s="9">
        <v>92</v>
      </c>
      <c r="D4" s="7">
        <f t="shared" si="0"/>
        <v>1.9782608695652173</v>
      </c>
    </row>
    <row r="5" spans="2:4" ht="15" thickBot="1" x14ac:dyDescent="0.4">
      <c r="B5" s="6">
        <v>140</v>
      </c>
      <c r="C5" s="9">
        <v>92</v>
      </c>
      <c r="D5" s="7">
        <f t="shared" si="0"/>
        <v>1.5217391304347827</v>
      </c>
    </row>
    <row r="6" spans="2:4" ht="15" thickBot="1" x14ac:dyDescent="0.4">
      <c r="B6" s="6">
        <v>144</v>
      </c>
      <c r="C6" s="9">
        <v>92</v>
      </c>
      <c r="D6" s="7">
        <f t="shared" si="0"/>
        <v>1.5652173913043479</v>
      </c>
    </row>
    <row r="7" spans="2:4" ht="15" thickBot="1" x14ac:dyDescent="0.4">
      <c r="B7" s="6">
        <v>106</v>
      </c>
      <c r="C7" s="9">
        <v>92</v>
      </c>
      <c r="D7" s="7">
        <f t="shared" si="0"/>
        <v>1.1521739130434783</v>
      </c>
    </row>
    <row r="8" spans="2:4" ht="15" thickBot="1" x14ac:dyDescent="0.4">
      <c r="B8" s="6">
        <v>130</v>
      </c>
      <c r="C8" s="9">
        <v>92</v>
      </c>
      <c r="D8" s="7">
        <f t="shared" si="0"/>
        <v>1.4130434782608696</v>
      </c>
    </row>
    <row r="9" spans="2:4" ht="15" thickBot="1" x14ac:dyDescent="0.4">
      <c r="B9" s="6">
        <v>160</v>
      </c>
      <c r="C9" s="9">
        <v>92</v>
      </c>
      <c r="D9" s="7">
        <f t="shared" si="0"/>
        <v>1.7391304347826086</v>
      </c>
    </row>
    <row r="10" spans="2:4" ht="15" thickBot="1" x14ac:dyDescent="0.4">
      <c r="B10" s="6">
        <v>162</v>
      </c>
      <c r="C10" s="9">
        <v>92</v>
      </c>
      <c r="D10" s="7">
        <f t="shared" si="0"/>
        <v>1.7608695652173914</v>
      </c>
    </row>
    <row r="11" spans="2:4" ht="15" thickBot="1" x14ac:dyDescent="0.4">
      <c r="B11" s="6">
        <v>148</v>
      </c>
      <c r="C11" s="9">
        <v>92</v>
      </c>
      <c r="D11" s="7">
        <f t="shared" si="0"/>
        <v>1.6086956521739131</v>
      </c>
    </row>
    <row r="12" spans="2:4" ht="15" thickBot="1" x14ac:dyDescent="0.4">
      <c r="B12" s="6">
        <v>136</v>
      </c>
      <c r="C12" s="9">
        <v>92</v>
      </c>
      <c r="D12" s="7">
        <f t="shared" si="0"/>
        <v>1.4782608695652173</v>
      </c>
    </row>
    <row r="13" spans="2:4" ht="15" thickBot="1" x14ac:dyDescent="0.4">
      <c r="B13" s="6">
        <v>110</v>
      </c>
      <c r="C13" s="9">
        <v>92</v>
      </c>
      <c r="D13" s="7">
        <f t="shared" si="0"/>
        <v>1.1956521739130435</v>
      </c>
    </row>
    <row r="14" spans="2:4" ht="15" thickBot="1" x14ac:dyDescent="0.4">
      <c r="B14" s="6">
        <v>182</v>
      </c>
      <c r="C14" s="9">
        <v>92</v>
      </c>
      <c r="D14" s="7">
        <f t="shared" si="0"/>
        <v>1.9782608695652173</v>
      </c>
    </row>
    <row r="15" spans="2:4" ht="15" thickBot="1" x14ac:dyDescent="0.4">
      <c r="B15" s="6">
        <v>178</v>
      </c>
      <c r="C15" s="9">
        <v>92</v>
      </c>
      <c r="D15" s="7">
        <f t="shared" si="0"/>
        <v>1.9347826086956521</v>
      </c>
    </row>
    <row r="16" spans="2:4" ht="15" thickBot="1" x14ac:dyDescent="0.4">
      <c r="B16" s="6">
        <v>150</v>
      </c>
      <c r="C16" s="9">
        <v>92</v>
      </c>
      <c r="D16" s="7">
        <f t="shared" si="0"/>
        <v>1.6304347826086956</v>
      </c>
    </row>
    <row r="17" spans="2:4" ht="15" thickBot="1" x14ac:dyDescent="0.4">
      <c r="B17" s="6">
        <v>160</v>
      </c>
      <c r="C17" s="9">
        <v>92</v>
      </c>
      <c r="D17" s="7">
        <f t="shared" si="0"/>
        <v>1.7391304347826086</v>
      </c>
    </row>
    <row r="18" spans="2:4" ht="15" thickBot="1" x14ac:dyDescent="0.4">
      <c r="B18" s="6">
        <v>128</v>
      </c>
      <c r="C18" s="9">
        <v>92</v>
      </c>
      <c r="D18" s="7">
        <f t="shared" si="0"/>
        <v>1.3913043478260869</v>
      </c>
    </row>
    <row r="19" spans="2:4" ht="15" thickBot="1" x14ac:dyDescent="0.4">
      <c r="B19" s="6">
        <v>142</v>
      </c>
      <c r="C19" s="9">
        <v>92</v>
      </c>
      <c r="D19" s="7">
        <f t="shared" si="0"/>
        <v>1.5434782608695652</v>
      </c>
    </row>
    <row r="20" spans="2:4" ht="15" thickBot="1" x14ac:dyDescent="0.4">
      <c r="B20" s="6">
        <v>142</v>
      </c>
      <c r="C20" s="9">
        <v>92</v>
      </c>
      <c r="D20" s="7">
        <f t="shared" si="0"/>
        <v>1.5434782608695652</v>
      </c>
    </row>
    <row r="21" spans="2:4" ht="15" thickBot="1" x14ac:dyDescent="0.4">
      <c r="B21" s="6">
        <v>120</v>
      </c>
      <c r="C21" s="9">
        <v>92</v>
      </c>
      <c r="D21" s="7">
        <f t="shared" si="0"/>
        <v>1.3043478260869565</v>
      </c>
    </row>
    <row r="22" spans="2:4" ht="15" thickBot="1" x14ac:dyDescent="0.4">
      <c r="B22" s="6">
        <v>140</v>
      </c>
      <c r="C22" s="9">
        <v>92</v>
      </c>
      <c r="D22" s="7">
        <f t="shared" si="0"/>
        <v>1.5217391304347827</v>
      </c>
    </row>
    <row r="23" spans="2:4" ht="15" thickBot="1" x14ac:dyDescent="0.4">
      <c r="B23" s="6">
        <v>188</v>
      </c>
      <c r="C23" s="9">
        <v>92</v>
      </c>
      <c r="D23" s="7">
        <f t="shared" si="0"/>
        <v>2.0434782608695654</v>
      </c>
    </row>
    <row r="24" spans="2:4" ht="15" thickBot="1" x14ac:dyDescent="0.4">
      <c r="B24" s="6">
        <v>146</v>
      </c>
      <c r="C24" s="9">
        <v>92</v>
      </c>
      <c r="D24" s="7">
        <f t="shared" si="0"/>
        <v>1.5869565217391304</v>
      </c>
    </row>
    <row r="25" spans="2:4" ht="15" thickBot="1" x14ac:dyDescent="0.4">
      <c r="B25" s="6">
        <v>132</v>
      </c>
      <c r="C25" s="9">
        <v>92</v>
      </c>
      <c r="D25" s="7">
        <f t="shared" si="0"/>
        <v>1.4347826086956521</v>
      </c>
    </row>
    <row r="26" spans="2:4" ht="15" thickBot="1" x14ac:dyDescent="0.4">
      <c r="B26" s="6">
        <v>160</v>
      </c>
      <c r="C26" s="9">
        <v>92</v>
      </c>
      <c r="D26" s="7">
        <f t="shared" si="0"/>
        <v>1.7391304347826086</v>
      </c>
    </row>
    <row r="27" spans="2:4" ht="15" thickBot="1" x14ac:dyDescent="0.4">
      <c r="B27" s="6">
        <v>154</v>
      </c>
      <c r="C27" s="9">
        <v>92</v>
      </c>
      <c r="D27" s="7">
        <f t="shared" si="0"/>
        <v>1.673913043478261</v>
      </c>
    </row>
    <row r="28" spans="2:4" ht="15" thickBot="1" x14ac:dyDescent="0.4">
      <c r="B28" s="6">
        <v>126</v>
      </c>
      <c r="C28" s="9">
        <v>92</v>
      </c>
      <c r="D28" s="7">
        <f t="shared" si="0"/>
        <v>1.3695652173913044</v>
      </c>
    </row>
    <row r="29" spans="2:4" ht="15" thickBot="1" x14ac:dyDescent="0.4">
      <c r="B29" s="6">
        <v>136</v>
      </c>
      <c r="C29" s="9">
        <v>92</v>
      </c>
      <c r="D29" s="7">
        <f t="shared" si="0"/>
        <v>1.4782608695652173</v>
      </c>
    </row>
    <row r="30" spans="2:4" ht="15" thickBot="1" x14ac:dyDescent="0.4">
      <c r="B30" s="6">
        <v>126</v>
      </c>
      <c r="C30" s="9">
        <v>92</v>
      </c>
      <c r="D30" s="7">
        <f t="shared" si="0"/>
        <v>1.3695652173913044</v>
      </c>
    </row>
    <row r="31" spans="2:4" ht="15" thickBot="1" x14ac:dyDescent="0.4">
      <c r="B31" s="6">
        <v>134</v>
      </c>
      <c r="C31" s="9">
        <v>92</v>
      </c>
      <c r="D31" s="7">
        <f t="shared" si="0"/>
        <v>1.4565217391304348</v>
      </c>
    </row>
    <row r="32" spans="2:4" ht="15" thickBot="1" x14ac:dyDescent="0.4">
      <c r="B32" s="6">
        <v>136</v>
      </c>
      <c r="C32" s="9">
        <v>92</v>
      </c>
      <c r="D32" s="7">
        <f t="shared" si="0"/>
        <v>1.4782608695652173</v>
      </c>
    </row>
    <row r="33" spans="2:4" ht="15" thickBot="1" x14ac:dyDescent="0.4">
      <c r="B33" s="6">
        <v>136</v>
      </c>
      <c r="C33" s="9">
        <v>92</v>
      </c>
      <c r="D33" s="7">
        <f t="shared" si="0"/>
        <v>1.4782608695652173</v>
      </c>
    </row>
    <row r="34" spans="2:4" ht="15" thickBot="1" x14ac:dyDescent="0.4">
      <c r="B34" s="6">
        <v>116</v>
      </c>
      <c r="C34" s="9">
        <v>92</v>
      </c>
      <c r="D34" s="7">
        <f t="shared" si="0"/>
        <v>1.2608695652173914</v>
      </c>
    </row>
    <row r="35" spans="2:4" ht="15" thickBot="1" x14ac:dyDescent="0.4">
      <c r="B35" s="6">
        <v>114</v>
      </c>
      <c r="C35" s="9">
        <v>92</v>
      </c>
      <c r="D35" s="7">
        <f t="shared" si="0"/>
        <v>1.2391304347826086</v>
      </c>
    </row>
    <row r="36" spans="2:4" ht="15" thickBot="1" x14ac:dyDescent="0.4">
      <c r="B36" s="6">
        <v>140</v>
      </c>
      <c r="C36" s="9">
        <v>92</v>
      </c>
      <c r="D36" s="7">
        <f t="shared" si="0"/>
        <v>1.5217391304347827</v>
      </c>
    </row>
    <row r="37" spans="2:4" ht="15" thickBot="1" x14ac:dyDescent="0.4">
      <c r="B37" s="6">
        <v>134</v>
      </c>
      <c r="C37" s="9">
        <v>92</v>
      </c>
      <c r="D37" s="7">
        <f t="shared" si="0"/>
        <v>1.4565217391304348</v>
      </c>
    </row>
    <row r="38" spans="2:4" ht="15" thickBot="1" x14ac:dyDescent="0.4">
      <c r="B38" s="6">
        <v>174</v>
      </c>
      <c r="C38" s="9">
        <v>92</v>
      </c>
      <c r="D38" s="7">
        <f t="shared" si="0"/>
        <v>1.8913043478260869</v>
      </c>
    </row>
    <row r="39" spans="2:4" ht="15" thickBot="1" x14ac:dyDescent="0.4">
      <c r="B39" s="6">
        <v>114</v>
      </c>
      <c r="C39" s="9">
        <v>92</v>
      </c>
      <c r="D39" s="7">
        <f t="shared" si="0"/>
        <v>1.2391304347826086</v>
      </c>
    </row>
    <row r="40" spans="2:4" ht="15" thickBot="1" x14ac:dyDescent="0.4">
      <c r="B40" s="6">
        <v>116</v>
      </c>
      <c r="C40" s="9">
        <v>92</v>
      </c>
      <c r="D40" s="7">
        <f t="shared" si="0"/>
        <v>1.2608695652173914</v>
      </c>
    </row>
    <row r="41" spans="2:4" ht="15" thickBot="1" x14ac:dyDescent="0.4">
      <c r="B41" s="6">
        <v>178</v>
      </c>
      <c r="C41" s="9">
        <v>92</v>
      </c>
      <c r="D41" s="7">
        <f t="shared" si="0"/>
        <v>1.9347826086956521</v>
      </c>
    </row>
    <row r="42" spans="2:4" ht="15" thickBot="1" x14ac:dyDescent="0.4">
      <c r="B42" s="6">
        <v>167</v>
      </c>
      <c r="C42" s="9">
        <v>92</v>
      </c>
      <c r="D42" s="7">
        <f t="shared" si="0"/>
        <v>1.8152173913043479</v>
      </c>
    </row>
    <row r="43" spans="2:4" ht="15" thickBot="1" x14ac:dyDescent="0.4">
      <c r="B43" s="6">
        <v>180</v>
      </c>
      <c r="C43" s="9">
        <v>92</v>
      </c>
      <c r="D43" s="7">
        <f t="shared" si="0"/>
        <v>1.9565217391304348</v>
      </c>
    </row>
    <row r="44" spans="2:4" ht="15" thickBot="1" x14ac:dyDescent="0.4">
      <c r="B44" s="6">
        <v>122</v>
      </c>
      <c r="C44" s="9">
        <v>92</v>
      </c>
      <c r="D44" s="7">
        <f t="shared" si="0"/>
        <v>1.326086956521739</v>
      </c>
    </row>
    <row r="45" spans="2:4" ht="15" thickBot="1" x14ac:dyDescent="0.4">
      <c r="B45" s="6">
        <v>140</v>
      </c>
      <c r="C45" s="9">
        <v>92</v>
      </c>
      <c r="D45" s="7">
        <f t="shared" si="0"/>
        <v>1.5217391304347827</v>
      </c>
    </row>
    <row r="46" spans="2:4" ht="15" thickBot="1" x14ac:dyDescent="0.4">
      <c r="B46" s="6">
        <v>160</v>
      </c>
      <c r="C46" s="9">
        <v>92</v>
      </c>
      <c r="D46" s="7">
        <f t="shared" si="0"/>
        <v>1.7391304347826086</v>
      </c>
    </row>
    <row r="47" spans="2:4" ht="15" thickBot="1" x14ac:dyDescent="0.4">
      <c r="B47" s="6">
        <v>186</v>
      </c>
      <c r="C47" s="9">
        <v>92</v>
      </c>
      <c r="D47" s="7">
        <f t="shared" si="0"/>
        <v>2.0217391304347827</v>
      </c>
    </row>
    <row r="48" spans="2:4" ht="15" thickBot="1" x14ac:dyDescent="0.4">
      <c r="B48" s="6">
        <v>118</v>
      </c>
      <c r="C48" s="9">
        <v>92</v>
      </c>
      <c r="D48" s="7">
        <f t="shared" si="0"/>
        <v>1.2826086956521738</v>
      </c>
    </row>
    <row r="49" spans="2:4" ht="15" thickBot="1" x14ac:dyDescent="0.4">
      <c r="B49" s="6">
        <v>172</v>
      </c>
      <c r="C49" s="9">
        <v>92</v>
      </c>
      <c r="D49" s="7">
        <f t="shared" si="0"/>
        <v>1.8695652173913044</v>
      </c>
    </row>
    <row r="50" spans="2:4" ht="15" thickBot="1" x14ac:dyDescent="0.4">
      <c r="B50" s="6">
        <v>140</v>
      </c>
      <c r="C50" s="9">
        <v>92</v>
      </c>
      <c r="D50" s="7">
        <f t="shared" si="0"/>
        <v>1.5217391304347827</v>
      </c>
    </row>
    <row r="51" spans="2:4" ht="15" thickBot="1" x14ac:dyDescent="0.4">
      <c r="B51" s="6">
        <v>118</v>
      </c>
      <c r="C51" s="9">
        <v>92</v>
      </c>
      <c r="D51" s="7">
        <f t="shared" si="0"/>
        <v>1.2826086956521738</v>
      </c>
    </row>
    <row r="52" spans="2:4" ht="15" thickBot="1" x14ac:dyDescent="0.4">
      <c r="B52" s="6">
        <v>164</v>
      </c>
      <c r="C52" s="9">
        <v>92</v>
      </c>
      <c r="D52" s="7">
        <f t="shared" si="0"/>
        <v>1.7826086956521738</v>
      </c>
    </row>
    <row r="53" spans="2:4" ht="15" thickBot="1" x14ac:dyDescent="0.4">
      <c r="B53" s="6">
        <v>156</v>
      </c>
      <c r="C53" s="9">
        <v>92</v>
      </c>
      <c r="D53" s="7">
        <f t="shared" si="0"/>
        <v>1.6956521739130435</v>
      </c>
    </row>
    <row r="54" spans="2:4" ht="15" thickBot="1" x14ac:dyDescent="0.4">
      <c r="B54" s="6">
        <v>112</v>
      </c>
      <c r="C54" s="9">
        <v>92</v>
      </c>
      <c r="D54" s="7">
        <f t="shared" si="0"/>
        <v>1.2173913043478262</v>
      </c>
    </row>
    <row r="55" spans="2:4" ht="15" thickBot="1" x14ac:dyDescent="0.4">
      <c r="B55" s="6">
        <v>134</v>
      </c>
      <c r="C55" s="9">
        <v>92</v>
      </c>
      <c r="D55" s="7">
        <f t="shared" si="0"/>
        <v>1.4565217391304348</v>
      </c>
    </row>
    <row r="56" spans="2:4" ht="15" thickBot="1" x14ac:dyDescent="0.4">
      <c r="B56" s="6">
        <v>150</v>
      </c>
      <c r="C56" s="9">
        <v>92</v>
      </c>
      <c r="D56" s="7">
        <f t="shared" si="0"/>
        <v>1.6304347826086956</v>
      </c>
    </row>
    <row r="57" spans="2:4" ht="15" thickBot="1" x14ac:dyDescent="0.4">
      <c r="B57" s="6">
        <v>170</v>
      </c>
      <c r="C57" s="9">
        <v>92</v>
      </c>
      <c r="D57" s="7">
        <f t="shared" si="0"/>
        <v>1.8478260869565217</v>
      </c>
    </row>
    <row r="58" spans="2:4" ht="15" thickBot="1" x14ac:dyDescent="0.4">
      <c r="B58" s="6">
        <v>176</v>
      </c>
      <c r="C58" s="9">
        <v>92</v>
      </c>
      <c r="D58" s="7">
        <f t="shared" si="0"/>
        <v>1.9130434782608696</v>
      </c>
    </row>
    <row r="59" spans="2:4" ht="15" thickBot="1" x14ac:dyDescent="0.4">
      <c r="B59" s="6">
        <v>180</v>
      </c>
      <c r="C59" s="9">
        <v>92</v>
      </c>
      <c r="D59" s="7">
        <f t="shared" si="0"/>
        <v>1.9565217391304348</v>
      </c>
    </row>
    <row r="60" spans="2:4" ht="15" thickBot="1" x14ac:dyDescent="0.4">
      <c r="B60" s="6">
        <v>106</v>
      </c>
      <c r="C60" s="9">
        <v>92</v>
      </c>
      <c r="D60" s="7">
        <f t="shared" si="0"/>
        <v>1.1521739130434783</v>
      </c>
    </row>
    <row r="61" spans="2:4" ht="15" thickBot="1" x14ac:dyDescent="0.4">
      <c r="B61" s="6">
        <v>158</v>
      </c>
      <c r="C61" s="9">
        <v>92</v>
      </c>
      <c r="D61" s="7">
        <f t="shared" si="0"/>
        <v>1.7173913043478262</v>
      </c>
    </row>
    <row r="62" spans="2:4" ht="15" thickBot="1" x14ac:dyDescent="0.4">
      <c r="B62" s="6">
        <v>168</v>
      </c>
      <c r="C62" s="9">
        <v>92</v>
      </c>
      <c r="D62" s="7">
        <f t="shared" si="0"/>
        <v>1.826086956521739</v>
      </c>
    </row>
    <row r="63" spans="2:4" ht="15" thickBot="1" x14ac:dyDescent="0.4">
      <c r="B63" s="6">
        <v>184</v>
      </c>
      <c r="C63" s="9">
        <v>92</v>
      </c>
      <c r="D63" s="7">
        <f t="shared" si="0"/>
        <v>2</v>
      </c>
    </row>
    <row r="64" spans="2:4" ht="15" thickBot="1" x14ac:dyDescent="0.4">
      <c r="B64" s="6">
        <v>134</v>
      </c>
      <c r="C64" s="9">
        <v>92</v>
      </c>
      <c r="D64" s="7">
        <f t="shared" si="0"/>
        <v>1.4565217391304348</v>
      </c>
    </row>
    <row r="65" spans="2:4" ht="15" thickBot="1" x14ac:dyDescent="0.4">
      <c r="B65" s="6">
        <v>108</v>
      </c>
      <c r="C65" s="9">
        <v>92</v>
      </c>
      <c r="D65" s="7">
        <f t="shared" si="0"/>
        <v>1.173913043478261</v>
      </c>
    </row>
    <row r="66" spans="2:4" ht="15" thickBot="1" x14ac:dyDescent="0.4">
      <c r="B66" s="6">
        <v>170</v>
      </c>
      <c r="C66" s="9">
        <v>92</v>
      </c>
      <c r="D66" s="7">
        <f t="shared" si="0"/>
        <v>1.8478260869565217</v>
      </c>
    </row>
    <row r="67" spans="2:4" ht="15" thickBot="1" x14ac:dyDescent="0.4">
      <c r="B67" s="6">
        <v>110</v>
      </c>
      <c r="C67" s="9">
        <v>92</v>
      </c>
      <c r="D67" s="7">
        <f t="shared" ref="D67:D130" si="1">B67/C67</f>
        <v>1.1956521739130435</v>
      </c>
    </row>
    <row r="68" spans="2:4" ht="15" thickBot="1" x14ac:dyDescent="0.4">
      <c r="B68" s="6">
        <v>98</v>
      </c>
      <c r="C68" s="9">
        <v>92</v>
      </c>
      <c r="D68" s="7">
        <f t="shared" si="1"/>
        <v>1.0652173913043479</v>
      </c>
    </row>
    <row r="69" spans="2:4" ht="15" thickBot="1" x14ac:dyDescent="0.4">
      <c r="B69" s="6">
        <v>152</v>
      </c>
      <c r="C69" s="9">
        <v>92</v>
      </c>
      <c r="D69" s="7">
        <f t="shared" si="1"/>
        <v>1.6521739130434783</v>
      </c>
    </row>
    <row r="70" spans="2:4" ht="15" thickBot="1" x14ac:dyDescent="0.4">
      <c r="B70" s="6">
        <v>97</v>
      </c>
      <c r="C70" s="9">
        <v>92</v>
      </c>
      <c r="D70" s="7">
        <f t="shared" si="1"/>
        <v>1.0543478260869565</v>
      </c>
    </row>
    <row r="71" spans="2:4" ht="15" thickBot="1" x14ac:dyDescent="0.4">
      <c r="B71" s="5">
        <v>164</v>
      </c>
      <c r="C71" s="9">
        <v>92</v>
      </c>
      <c r="D71" s="7">
        <f t="shared" si="1"/>
        <v>1.7826086956521738</v>
      </c>
    </row>
    <row r="72" spans="2:4" ht="15" thickBot="1" x14ac:dyDescent="0.4">
      <c r="B72" s="6">
        <v>148</v>
      </c>
      <c r="C72" s="9">
        <v>92</v>
      </c>
      <c r="D72" s="7">
        <f t="shared" si="1"/>
        <v>1.6086956521739131</v>
      </c>
    </row>
    <row r="73" spans="2:4" ht="15" thickBot="1" x14ac:dyDescent="0.4">
      <c r="B73" s="6">
        <v>182</v>
      </c>
      <c r="C73" s="9">
        <v>92</v>
      </c>
      <c r="D73" s="7">
        <f t="shared" si="1"/>
        <v>1.9782608695652173</v>
      </c>
    </row>
    <row r="74" spans="2:4" ht="15" thickBot="1" x14ac:dyDescent="0.4">
      <c r="B74" s="6">
        <v>140</v>
      </c>
      <c r="C74" s="9">
        <v>92</v>
      </c>
      <c r="D74" s="7">
        <f t="shared" si="1"/>
        <v>1.5217391304347827</v>
      </c>
    </row>
    <row r="75" spans="2:4" ht="15" thickBot="1" x14ac:dyDescent="0.4">
      <c r="B75" s="6">
        <v>144</v>
      </c>
      <c r="C75" s="9">
        <v>92</v>
      </c>
      <c r="D75" s="7">
        <f t="shared" si="1"/>
        <v>1.5652173913043479</v>
      </c>
    </row>
    <row r="76" spans="2:4" ht="15" thickBot="1" x14ac:dyDescent="0.4">
      <c r="B76" s="6">
        <v>106</v>
      </c>
      <c r="C76" s="9">
        <v>92</v>
      </c>
      <c r="D76" s="7">
        <f t="shared" si="1"/>
        <v>1.1521739130434783</v>
      </c>
    </row>
    <row r="77" spans="2:4" ht="15" thickBot="1" x14ac:dyDescent="0.4">
      <c r="B77" s="6">
        <v>130</v>
      </c>
      <c r="C77" s="9">
        <v>92</v>
      </c>
      <c r="D77" s="7">
        <f t="shared" si="1"/>
        <v>1.4130434782608696</v>
      </c>
    </row>
    <row r="78" spans="2:4" ht="15" thickBot="1" x14ac:dyDescent="0.4">
      <c r="B78" s="6">
        <v>160</v>
      </c>
      <c r="C78" s="9">
        <v>92</v>
      </c>
      <c r="D78" s="7">
        <f t="shared" si="1"/>
        <v>1.7391304347826086</v>
      </c>
    </row>
    <row r="79" spans="2:4" ht="15" thickBot="1" x14ac:dyDescent="0.4">
      <c r="B79" s="6">
        <v>162</v>
      </c>
      <c r="C79" s="9">
        <v>92</v>
      </c>
      <c r="D79" s="7">
        <f t="shared" si="1"/>
        <v>1.7608695652173914</v>
      </c>
    </row>
    <row r="80" spans="2:4" ht="15" thickBot="1" x14ac:dyDescent="0.4">
      <c r="B80" s="6">
        <v>148</v>
      </c>
      <c r="C80" s="9">
        <v>92</v>
      </c>
      <c r="D80" s="7">
        <f t="shared" si="1"/>
        <v>1.6086956521739131</v>
      </c>
    </row>
    <row r="81" spans="2:4" ht="15" thickBot="1" x14ac:dyDescent="0.4">
      <c r="B81" s="6">
        <v>136</v>
      </c>
      <c r="C81" s="9">
        <v>92</v>
      </c>
      <c r="D81" s="7">
        <f t="shared" si="1"/>
        <v>1.4782608695652173</v>
      </c>
    </row>
    <row r="82" spans="2:4" ht="15" thickBot="1" x14ac:dyDescent="0.4">
      <c r="B82" s="6">
        <v>110</v>
      </c>
      <c r="C82" s="9">
        <v>92</v>
      </c>
      <c r="D82" s="7">
        <f t="shared" si="1"/>
        <v>1.1956521739130435</v>
      </c>
    </row>
    <row r="83" spans="2:4" ht="15" thickBot="1" x14ac:dyDescent="0.4">
      <c r="B83" s="6">
        <v>182</v>
      </c>
      <c r="C83" s="9">
        <v>92</v>
      </c>
      <c r="D83" s="7">
        <f t="shared" si="1"/>
        <v>1.9782608695652173</v>
      </c>
    </row>
    <row r="84" spans="2:4" ht="15" thickBot="1" x14ac:dyDescent="0.4">
      <c r="B84" s="6">
        <v>178</v>
      </c>
      <c r="C84" s="9">
        <v>92</v>
      </c>
      <c r="D84" s="7">
        <f t="shared" si="1"/>
        <v>1.9347826086956521</v>
      </c>
    </row>
    <row r="85" spans="2:4" ht="15" thickBot="1" x14ac:dyDescent="0.4">
      <c r="B85" s="6">
        <v>150</v>
      </c>
      <c r="C85" s="9">
        <v>92</v>
      </c>
      <c r="D85" s="7">
        <f t="shared" si="1"/>
        <v>1.6304347826086956</v>
      </c>
    </row>
    <row r="86" spans="2:4" ht="15" thickBot="1" x14ac:dyDescent="0.4">
      <c r="B86" s="6">
        <v>160</v>
      </c>
      <c r="C86" s="9">
        <v>92</v>
      </c>
      <c r="D86" s="7">
        <f t="shared" si="1"/>
        <v>1.7391304347826086</v>
      </c>
    </row>
    <row r="87" spans="2:4" ht="15" thickBot="1" x14ac:dyDescent="0.4">
      <c r="B87" s="6">
        <v>128</v>
      </c>
      <c r="C87" s="9">
        <v>92</v>
      </c>
      <c r="D87" s="7">
        <f t="shared" si="1"/>
        <v>1.3913043478260869</v>
      </c>
    </row>
    <row r="88" spans="2:4" ht="15" thickBot="1" x14ac:dyDescent="0.4">
      <c r="B88" s="6">
        <v>142</v>
      </c>
      <c r="C88" s="9">
        <v>92</v>
      </c>
      <c r="D88" s="7">
        <f t="shared" si="1"/>
        <v>1.5434782608695652</v>
      </c>
    </row>
    <row r="89" spans="2:4" ht="15" thickBot="1" x14ac:dyDescent="0.4">
      <c r="B89" s="6">
        <v>142</v>
      </c>
      <c r="C89" s="9">
        <v>92</v>
      </c>
      <c r="D89" s="7">
        <f t="shared" si="1"/>
        <v>1.5434782608695652</v>
      </c>
    </row>
    <row r="90" spans="2:4" ht="15" thickBot="1" x14ac:dyDescent="0.4">
      <c r="B90" s="6">
        <v>120</v>
      </c>
      <c r="C90" s="9">
        <v>92</v>
      </c>
      <c r="D90" s="7">
        <f t="shared" si="1"/>
        <v>1.3043478260869565</v>
      </c>
    </row>
    <row r="91" spans="2:4" ht="15" thickBot="1" x14ac:dyDescent="0.4">
      <c r="B91" s="6">
        <v>140</v>
      </c>
      <c r="C91" s="9">
        <v>92</v>
      </c>
      <c r="D91" s="7">
        <f t="shared" si="1"/>
        <v>1.5217391304347827</v>
      </c>
    </row>
    <row r="92" spans="2:4" ht="15" thickBot="1" x14ac:dyDescent="0.4">
      <c r="B92" s="6">
        <v>188</v>
      </c>
      <c r="C92" s="9">
        <v>92</v>
      </c>
      <c r="D92" s="7">
        <f t="shared" si="1"/>
        <v>2.0434782608695654</v>
      </c>
    </row>
    <row r="93" spans="2:4" ht="15" thickBot="1" x14ac:dyDescent="0.4">
      <c r="B93" s="6">
        <v>146</v>
      </c>
      <c r="C93" s="9">
        <v>92</v>
      </c>
      <c r="D93" s="7">
        <f t="shared" si="1"/>
        <v>1.5869565217391304</v>
      </c>
    </row>
    <row r="94" spans="2:4" ht="15" thickBot="1" x14ac:dyDescent="0.4">
      <c r="B94" s="6">
        <v>132</v>
      </c>
      <c r="C94" s="9">
        <v>92</v>
      </c>
      <c r="D94" s="7">
        <f t="shared" si="1"/>
        <v>1.4347826086956521</v>
      </c>
    </row>
    <row r="95" spans="2:4" ht="15" thickBot="1" x14ac:dyDescent="0.4">
      <c r="B95" s="6">
        <v>160</v>
      </c>
      <c r="C95" s="9">
        <v>92</v>
      </c>
      <c r="D95" s="7">
        <f t="shared" si="1"/>
        <v>1.7391304347826086</v>
      </c>
    </row>
    <row r="96" spans="2:4" ht="15" thickBot="1" x14ac:dyDescent="0.4">
      <c r="B96" s="6">
        <v>154</v>
      </c>
      <c r="C96" s="9">
        <v>92</v>
      </c>
      <c r="D96" s="7">
        <f t="shared" si="1"/>
        <v>1.673913043478261</v>
      </c>
    </row>
    <row r="97" spans="2:4" ht="15" thickBot="1" x14ac:dyDescent="0.4">
      <c r="B97" s="6">
        <v>126</v>
      </c>
      <c r="C97" s="9">
        <v>92</v>
      </c>
      <c r="D97" s="7">
        <f t="shared" si="1"/>
        <v>1.3695652173913044</v>
      </c>
    </row>
    <row r="98" spans="2:4" ht="15" thickBot="1" x14ac:dyDescent="0.4">
      <c r="B98" s="6">
        <v>136</v>
      </c>
      <c r="C98" s="9">
        <v>92</v>
      </c>
      <c r="D98" s="7">
        <f t="shared" si="1"/>
        <v>1.4782608695652173</v>
      </c>
    </row>
    <row r="99" spans="2:4" ht="15" thickBot="1" x14ac:dyDescent="0.4">
      <c r="B99" s="6">
        <v>126</v>
      </c>
      <c r="C99" s="9">
        <v>92</v>
      </c>
      <c r="D99" s="7">
        <f t="shared" si="1"/>
        <v>1.3695652173913044</v>
      </c>
    </row>
    <row r="100" spans="2:4" ht="15" thickBot="1" x14ac:dyDescent="0.4">
      <c r="B100" s="6">
        <v>134</v>
      </c>
      <c r="C100" s="9">
        <v>92</v>
      </c>
      <c r="D100" s="7">
        <f t="shared" si="1"/>
        <v>1.4565217391304348</v>
      </c>
    </row>
    <row r="101" spans="2:4" ht="15" thickBot="1" x14ac:dyDescent="0.4">
      <c r="B101" s="6">
        <v>136</v>
      </c>
      <c r="C101" s="9">
        <v>92</v>
      </c>
      <c r="D101" s="7">
        <f t="shared" si="1"/>
        <v>1.4782608695652173</v>
      </c>
    </row>
    <row r="102" spans="2:4" ht="15" thickBot="1" x14ac:dyDescent="0.4">
      <c r="B102" s="6">
        <v>136</v>
      </c>
      <c r="C102" s="9">
        <v>92</v>
      </c>
      <c r="D102" s="7">
        <f t="shared" si="1"/>
        <v>1.4782608695652173</v>
      </c>
    </row>
    <row r="103" spans="2:4" ht="15" thickBot="1" x14ac:dyDescent="0.4">
      <c r="B103" s="6">
        <v>116</v>
      </c>
      <c r="C103" s="9">
        <v>92</v>
      </c>
      <c r="D103" s="7">
        <f t="shared" si="1"/>
        <v>1.2608695652173914</v>
      </c>
    </row>
    <row r="104" spans="2:4" ht="15" thickBot="1" x14ac:dyDescent="0.4">
      <c r="B104" s="6">
        <v>114</v>
      </c>
      <c r="C104" s="9">
        <v>92</v>
      </c>
      <c r="D104" s="7">
        <f t="shared" si="1"/>
        <v>1.2391304347826086</v>
      </c>
    </row>
    <row r="105" spans="2:4" ht="15" thickBot="1" x14ac:dyDescent="0.4">
      <c r="B105" s="6">
        <v>140</v>
      </c>
      <c r="C105" s="9">
        <v>92</v>
      </c>
      <c r="D105" s="7">
        <f t="shared" si="1"/>
        <v>1.5217391304347827</v>
      </c>
    </row>
    <row r="106" spans="2:4" ht="15" thickBot="1" x14ac:dyDescent="0.4">
      <c r="B106" s="6">
        <v>134</v>
      </c>
      <c r="C106" s="9">
        <v>92</v>
      </c>
      <c r="D106" s="7">
        <f t="shared" si="1"/>
        <v>1.4565217391304348</v>
      </c>
    </row>
    <row r="107" spans="2:4" ht="15" thickBot="1" x14ac:dyDescent="0.4">
      <c r="B107" s="6">
        <v>174</v>
      </c>
      <c r="C107" s="9">
        <v>92</v>
      </c>
      <c r="D107" s="7">
        <f t="shared" si="1"/>
        <v>1.8913043478260869</v>
      </c>
    </row>
    <row r="108" spans="2:4" ht="15" thickBot="1" x14ac:dyDescent="0.4">
      <c r="B108" s="6">
        <v>114</v>
      </c>
      <c r="C108" s="9">
        <v>92</v>
      </c>
      <c r="D108" s="7">
        <f t="shared" si="1"/>
        <v>1.2391304347826086</v>
      </c>
    </row>
    <row r="109" spans="2:4" ht="15" thickBot="1" x14ac:dyDescent="0.4">
      <c r="B109" s="6">
        <v>116</v>
      </c>
      <c r="C109" s="9">
        <v>92</v>
      </c>
      <c r="D109" s="7">
        <f t="shared" si="1"/>
        <v>1.2608695652173914</v>
      </c>
    </row>
    <row r="110" spans="2:4" ht="15" thickBot="1" x14ac:dyDescent="0.4">
      <c r="B110" s="6">
        <v>178</v>
      </c>
      <c r="C110" s="9">
        <v>92</v>
      </c>
      <c r="D110" s="7">
        <f t="shared" si="1"/>
        <v>1.9347826086956521</v>
      </c>
    </row>
    <row r="111" spans="2:4" ht="15" thickBot="1" x14ac:dyDescent="0.4">
      <c r="B111" s="6">
        <v>167</v>
      </c>
      <c r="C111" s="9">
        <v>92</v>
      </c>
      <c r="D111" s="7">
        <f t="shared" si="1"/>
        <v>1.8152173913043479</v>
      </c>
    </row>
    <row r="112" spans="2:4" ht="15" thickBot="1" x14ac:dyDescent="0.4">
      <c r="B112" s="6">
        <v>180</v>
      </c>
      <c r="C112" s="9">
        <v>92</v>
      </c>
      <c r="D112" s="7">
        <f t="shared" si="1"/>
        <v>1.9565217391304348</v>
      </c>
    </row>
    <row r="113" spans="2:4" ht="15" thickBot="1" x14ac:dyDescent="0.4">
      <c r="B113" s="6">
        <v>122</v>
      </c>
      <c r="C113" s="9">
        <v>92</v>
      </c>
      <c r="D113" s="7">
        <f t="shared" si="1"/>
        <v>1.326086956521739</v>
      </c>
    </row>
    <row r="114" spans="2:4" ht="15" thickBot="1" x14ac:dyDescent="0.4">
      <c r="B114" s="6">
        <v>140</v>
      </c>
      <c r="C114" s="9">
        <v>92</v>
      </c>
      <c r="D114" s="7">
        <f t="shared" si="1"/>
        <v>1.5217391304347827</v>
      </c>
    </row>
    <row r="115" spans="2:4" ht="15" thickBot="1" x14ac:dyDescent="0.4">
      <c r="B115" s="6">
        <v>160</v>
      </c>
      <c r="C115" s="9">
        <v>92</v>
      </c>
      <c r="D115" s="7">
        <f t="shared" si="1"/>
        <v>1.7391304347826086</v>
      </c>
    </row>
    <row r="116" spans="2:4" ht="15" thickBot="1" x14ac:dyDescent="0.4">
      <c r="B116" s="6">
        <v>186</v>
      </c>
      <c r="C116" s="9">
        <v>92</v>
      </c>
      <c r="D116" s="7">
        <f t="shared" si="1"/>
        <v>2.0217391304347827</v>
      </c>
    </row>
    <row r="117" spans="2:4" ht="15" thickBot="1" x14ac:dyDescent="0.4">
      <c r="B117" s="6">
        <v>118</v>
      </c>
      <c r="C117" s="9">
        <v>92</v>
      </c>
      <c r="D117" s="7">
        <f t="shared" si="1"/>
        <v>1.2826086956521738</v>
      </c>
    </row>
    <row r="118" spans="2:4" ht="15" thickBot="1" x14ac:dyDescent="0.4">
      <c r="B118" s="6">
        <v>172</v>
      </c>
      <c r="C118" s="9">
        <v>92</v>
      </c>
      <c r="D118" s="7">
        <f t="shared" si="1"/>
        <v>1.8695652173913044</v>
      </c>
    </row>
    <row r="119" spans="2:4" ht="15" thickBot="1" x14ac:dyDescent="0.4">
      <c r="B119" s="6">
        <v>140</v>
      </c>
      <c r="C119" s="9">
        <v>92</v>
      </c>
      <c r="D119" s="7">
        <f t="shared" si="1"/>
        <v>1.5217391304347827</v>
      </c>
    </row>
    <row r="120" spans="2:4" ht="15" thickBot="1" x14ac:dyDescent="0.4">
      <c r="B120" s="6">
        <v>118</v>
      </c>
      <c r="C120" s="9">
        <v>92</v>
      </c>
      <c r="D120" s="7">
        <f t="shared" si="1"/>
        <v>1.2826086956521738</v>
      </c>
    </row>
    <row r="121" spans="2:4" ht="15" thickBot="1" x14ac:dyDescent="0.4">
      <c r="B121" s="6">
        <v>164</v>
      </c>
      <c r="C121" s="9">
        <v>92</v>
      </c>
      <c r="D121" s="7">
        <f t="shared" si="1"/>
        <v>1.7826086956521738</v>
      </c>
    </row>
    <row r="122" spans="2:4" ht="15" thickBot="1" x14ac:dyDescent="0.4">
      <c r="B122" s="6">
        <v>156</v>
      </c>
      <c r="C122" s="9">
        <v>92</v>
      </c>
      <c r="D122" s="7">
        <f t="shared" si="1"/>
        <v>1.6956521739130435</v>
      </c>
    </row>
    <row r="123" spans="2:4" ht="15" thickBot="1" x14ac:dyDescent="0.4">
      <c r="B123" s="6">
        <v>112</v>
      </c>
      <c r="C123" s="9">
        <v>92</v>
      </c>
      <c r="D123" s="7">
        <f t="shared" si="1"/>
        <v>1.2173913043478262</v>
      </c>
    </row>
    <row r="124" spans="2:4" ht="15" thickBot="1" x14ac:dyDescent="0.4">
      <c r="B124" s="6">
        <v>134</v>
      </c>
      <c r="C124" s="9">
        <v>92</v>
      </c>
      <c r="D124" s="7">
        <f t="shared" si="1"/>
        <v>1.4565217391304348</v>
      </c>
    </row>
    <row r="125" spans="2:4" ht="15" thickBot="1" x14ac:dyDescent="0.4">
      <c r="B125" s="6">
        <v>150</v>
      </c>
      <c r="C125" s="9">
        <v>92</v>
      </c>
      <c r="D125" s="7">
        <f t="shared" si="1"/>
        <v>1.6304347826086956</v>
      </c>
    </row>
    <row r="126" spans="2:4" ht="15" thickBot="1" x14ac:dyDescent="0.4">
      <c r="B126" s="6">
        <v>170</v>
      </c>
      <c r="C126" s="9">
        <v>92</v>
      </c>
      <c r="D126" s="7">
        <f t="shared" si="1"/>
        <v>1.8478260869565217</v>
      </c>
    </row>
    <row r="127" spans="2:4" ht="15" thickBot="1" x14ac:dyDescent="0.4">
      <c r="B127" s="6">
        <v>176</v>
      </c>
      <c r="C127" s="9">
        <v>92</v>
      </c>
      <c r="D127" s="7">
        <f t="shared" si="1"/>
        <v>1.9130434782608696</v>
      </c>
    </row>
    <row r="128" spans="2:4" ht="15" thickBot="1" x14ac:dyDescent="0.4">
      <c r="B128" s="6">
        <v>180</v>
      </c>
      <c r="C128" s="9">
        <v>92</v>
      </c>
      <c r="D128" s="7">
        <f t="shared" si="1"/>
        <v>1.9565217391304348</v>
      </c>
    </row>
    <row r="129" spans="2:4" ht="15" thickBot="1" x14ac:dyDescent="0.4">
      <c r="B129" s="6">
        <v>106</v>
      </c>
      <c r="C129" s="9">
        <v>92</v>
      </c>
      <c r="D129" s="7">
        <f t="shared" si="1"/>
        <v>1.1521739130434783</v>
      </c>
    </row>
    <row r="130" spans="2:4" ht="15" thickBot="1" x14ac:dyDescent="0.4">
      <c r="B130" s="6">
        <v>158</v>
      </c>
      <c r="C130" s="9">
        <v>92</v>
      </c>
      <c r="D130" s="7">
        <f t="shared" si="1"/>
        <v>1.7173913043478262</v>
      </c>
    </row>
    <row r="131" spans="2:4" ht="15" thickBot="1" x14ac:dyDescent="0.4">
      <c r="B131" s="6">
        <v>168</v>
      </c>
      <c r="C131" s="9">
        <v>92</v>
      </c>
      <c r="D131" s="7">
        <f t="shared" ref="D131:D190" si="2">B131/C131</f>
        <v>1.826086956521739</v>
      </c>
    </row>
    <row r="132" spans="2:4" ht="15" thickBot="1" x14ac:dyDescent="0.4">
      <c r="B132" s="6">
        <v>184</v>
      </c>
      <c r="C132" s="9">
        <v>92</v>
      </c>
      <c r="D132" s="7">
        <f t="shared" si="2"/>
        <v>2</v>
      </c>
    </row>
    <row r="133" spans="2:4" ht="15" thickBot="1" x14ac:dyDescent="0.4">
      <c r="B133" s="6">
        <v>134</v>
      </c>
      <c r="C133" s="9">
        <v>92</v>
      </c>
      <c r="D133" s="7">
        <f t="shared" si="2"/>
        <v>1.4565217391304348</v>
      </c>
    </row>
    <row r="134" spans="2:4" ht="15" thickBot="1" x14ac:dyDescent="0.4">
      <c r="B134" s="6">
        <v>108</v>
      </c>
      <c r="C134" s="9">
        <v>92</v>
      </c>
      <c r="D134" s="7">
        <f t="shared" si="2"/>
        <v>1.173913043478261</v>
      </c>
    </row>
    <row r="135" spans="2:4" ht="15" thickBot="1" x14ac:dyDescent="0.4">
      <c r="B135" s="6">
        <v>170</v>
      </c>
      <c r="C135" s="9">
        <v>92</v>
      </c>
      <c r="D135" s="7">
        <f t="shared" si="2"/>
        <v>1.8478260869565217</v>
      </c>
    </row>
    <row r="136" spans="2:4" ht="15" thickBot="1" x14ac:dyDescent="0.4">
      <c r="B136" s="6">
        <v>110</v>
      </c>
      <c r="C136" s="9">
        <v>92</v>
      </c>
      <c r="D136" s="7">
        <f t="shared" si="2"/>
        <v>1.1956521739130435</v>
      </c>
    </row>
    <row r="137" spans="2:4" ht="15" thickBot="1" x14ac:dyDescent="0.4">
      <c r="B137" s="6">
        <v>98</v>
      </c>
      <c r="C137" s="9">
        <v>92</v>
      </c>
      <c r="D137" s="7">
        <f t="shared" si="2"/>
        <v>1.0652173913043479</v>
      </c>
    </row>
    <row r="138" spans="2:4" ht="15" thickBot="1" x14ac:dyDescent="0.4">
      <c r="B138" s="6">
        <v>152</v>
      </c>
      <c r="C138" s="9">
        <v>92</v>
      </c>
      <c r="D138" s="7">
        <f t="shared" si="2"/>
        <v>1.6521739130434783</v>
      </c>
    </row>
    <row r="139" spans="2:4" ht="15" thickBot="1" x14ac:dyDescent="0.4">
      <c r="B139" s="6">
        <v>97</v>
      </c>
      <c r="C139" s="9">
        <v>92</v>
      </c>
      <c r="D139" s="7">
        <f t="shared" si="2"/>
        <v>1.0543478260869565</v>
      </c>
    </row>
    <row r="140" spans="2:4" ht="15" thickBot="1" x14ac:dyDescent="0.4">
      <c r="B140" s="6">
        <v>116</v>
      </c>
      <c r="C140" s="9">
        <v>92</v>
      </c>
      <c r="D140" s="7">
        <f t="shared" si="2"/>
        <v>1.2608695652173914</v>
      </c>
    </row>
    <row r="141" spans="2:4" ht="15" thickBot="1" x14ac:dyDescent="0.4">
      <c r="B141" s="6">
        <v>114</v>
      </c>
      <c r="C141" s="9">
        <v>92</v>
      </c>
      <c r="D141" s="7">
        <f t="shared" si="2"/>
        <v>1.2391304347826086</v>
      </c>
    </row>
    <row r="142" spans="2:4" ht="15" thickBot="1" x14ac:dyDescent="0.4">
      <c r="B142" s="6">
        <v>140</v>
      </c>
      <c r="C142" s="9">
        <v>92</v>
      </c>
      <c r="D142" s="7">
        <f t="shared" si="2"/>
        <v>1.5217391304347827</v>
      </c>
    </row>
    <row r="143" spans="2:4" ht="15" thickBot="1" x14ac:dyDescent="0.4">
      <c r="B143" s="6">
        <v>134</v>
      </c>
      <c r="C143" s="9">
        <v>92</v>
      </c>
      <c r="D143" s="7">
        <f t="shared" si="2"/>
        <v>1.4565217391304348</v>
      </c>
    </row>
    <row r="144" spans="2:4" ht="15" thickBot="1" x14ac:dyDescent="0.4">
      <c r="B144" s="6">
        <v>174</v>
      </c>
      <c r="C144" s="9">
        <v>92</v>
      </c>
      <c r="D144" s="7">
        <f t="shared" si="2"/>
        <v>1.8913043478260869</v>
      </c>
    </row>
    <row r="145" spans="2:4" ht="15" thickBot="1" x14ac:dyDescent="0.4">
      <c r="B145" s="6">
        <v>114</v>
      </c>
      <c r="C145" s="9">
        <v>92</v>
      </c>
      <c r="D145" s="7">
        <f t="shared" si="2"/>
        <v>1.2391304347826086</v>
      </c>
    </row>
    <row r="146" spans="2:4" ht="15" thickBot="1" x14ac:dyDescent="0.4">
      <c r="B146" s="6">
        <v>116</v>
      </c>
      <c r="C146" s="9">
        <v>92</v>
      </c>
      <c r="D146" s="7">
        <f t="shared" si="2"/>
        <v>1.2608695652173914</v>
      </c>
    </row>
    <row r="147" spans="2:4" ht="15" thickBot="1" x14ac:dyDescent="0.4">
      <c r="B147" s="6">
        <v>188</v>
      </c>
      <c r="C147" s="9">
        <v>92</v>
      </c>
      <c r="D147" s="7">
        <f t="shared" si="2"/>
        <v>2.0434782608695654</v>
      </c>
    </row>
    <row r="148" spans="2:4" ht="15" thickBot="1" x14ac:dyDescent="0.4">
      <c r="B148" s="6">
        <v>97</v>
      </c>
      <c r="C148" s="9">
        <v>92</v>
      </c>
      <c r="D148" s="7">
        <f t="shared" si="2"/>
        <v>1.0543478260869565</v>
      </c>
    </row>
    <row r="149" spans="2:4" ht="15" thickBot="1" x14ac:dyDescent="0.4">
      <c r="B149" s="6">
        <v>180</v>
      </c>
      <c r="C149" s="9">
        <v>92</v>
      </c>
      <c r="D149" s="7">
        <f t="shared" si="2"/>
        <v>1.9565217391304348</v>
      </c>
    </row>
    <row r="150" spans="2:4" ht="15" thickBot="1" x14ac:dyDescent="0.4">
      <c r="B150" s="6">
        <v>122</v>
      </c>
      <c r="C150" s="9">
        <v>92</v>
      </c>
      <c r="D150" s="7">
        <f t="shared" si="2"/>
        <v>1.326086956521739</v>
      </c>
    </row>
    <row r="151" spans="2:4" ht="15" thickBot="1" x14ac:dyDescent="0.4">
      <c r="B151" s="6">
        <v>140</v>
      </c>
      <c r="C151" s="9">
        <v>92</v>
      </c>
      <c r="D151" s="7">
        <f t="shared" si="2"/>
        <v>1.5217391304347827</v>
      </c>
    </row>
    <row r="152" spans="2:4" ht="15" thickBot="1" x14ac:dyDescent="0.4">
      <c r="B152" s="6">
        <v>160</v>
      </c>
      <c r="C152" s="9">
        <v>92</v>
      </c>
      <c r="D152" s="7">
        <f t="shared" si="2"/>
        <v>1.7391304347826086</v>
      </c>
    </row>
    <row r="153" spans="2:4" ht="15" thickBot="1" x14ac:dyDescent="0.4">
      <c r="B153" s="6">
        <v>156</v>
      </c>
      <c r="C153" s="9">
        <v>92</v>
      </c>
      <c r="D153" s="7">
        <f t="shared" si="2"/>
        <v>1.6956521739130435</v>
      </c>
    </row>
    <row r="154" spans="2:4" ht="15" thickBot="1" x14ac:dyDescent="0.4">
      <c r="B154" s="6">
        <v>98</v>
      </c>
      <c r="C154" s="9">
        <v>92</v>
      </c>
      <c r="D154" s="7">
        <f t="shared" si="2"/>
        <v>1.0652173913043479</v>
      </c>
    </row>
    <row r="155" spans="2:4" ht="15" thickBot="1" x14ac:dyDescent="0.4">
      <c r="B155" s="6">
        <v>94</v>
      </c>
      <c r="C155" s="9">
        <v>92</v>
      </c>
      <c r="D155" s="7">
        <f t="shared" si="2"/>
        <v>1.0217391304347827</v>
      </c>
    </row>
    <row r="156" spans="2:4" ht="15" thickBot="1" x14ac:dyDescent="0.4">
      <c r="B156" s="6">
        <v>140</v>
      </c>
      <c r="C156" s="9">
        <v>92</v>
      </c>
      <c r="D156" s="7">
        <f t="shared" si="2"/>
        <v>1.5217391304347827</v>
      </c>
    </row>
    <row r="157" spans="2:4" ht="15" thickBot="1" x14ac:dyDescent="0.4">
      <c r="B157" s="6">
        <v>118</v>
      </c>
      <c r="C157" s="9">
        <v>92</v>
      </c>
      <c r="D157" s="7">
        <f t="shared" si="2"/>
        <v>1.2826086956521738</v>
      </c>
    </row>
    <row r="158" spans="2:4" ht="15" thickBot="1" x14ac:dyDescent="0.4">
      <c r="B158" s="6">
        <v>174</v>
      </c>
      <c r="C158" s="9">
        <v>92</v>
      </c>
      <c r="D158" s="7">
        <f t="shared" si="2"/>
        <v>1.8913043478260869</v>
      </c>
    </row>
    <row r="159" spans="2:4" ht="15" thickBot="1" x14ac:dyDescent="0.4">
      <c r="B159" s="6">
        <v>96</v>
      </c>
      <c r="C159" s="9">
        <v>92</v>
      </c>
      <c r="D159" s="7">
        <f t="shared" si="2"/>
        <v>1.0434782608695652</v>
      </c>
    </row>
    <row r="160" spans="2:4" ht="15" thickBot="1" x14ac:dyDescent="0.4">
      <c r="B160" s="6">
        <v>112</v>
      </c>
      <c r="C160" s="9">
        <v>92</v>
      </c>
      <c r="D160" s="7">
        <f t="shared" si="2"/>
        <v>1.2173913043478262</v>
      </c>
    </row>
    <row r="161" spans="2:4" ht="15" thickBot="1" x14ac:dyDescent="0.4">
      <c r="B161" s="6">
        <v>134</v>
      </c>
      <c r="C161" s="9">
        <v>92</v>
      </c>
      <c r="D161" s="7">
        <f t="shared" si="2"/>
        <v>1.4565217391304348</v>
      </c>
    </row>
    <row r="162" spans="2:4" ht="15" thickBot="1" x14ac:dyDescent="0.4">
      <c r="B162" s="6">
        <v>150</v>
      </c>
      <c r="C162" s="9">
        <v>92</v>
      </c>
      <c r="D162" s="7">
        <f t="shared" si="2"/>
        <v>1.6304347826086956</v>
      </c>
    </row>
    <row r="163" spans="2:4" ht="15" thickBot="1" x14ac:dyDescent="0.4">
      <c r="B163" s="6">
        <v>180</v>
      </c>
      <c r="C163" s="9">
        <v>92</v>
      </c>
      <c r="D163" s="7">
        <f t="shared" si="2"/>
        <v>1.9565217391304348</v>
      </c>
    </row>
    <row r="164" spans="2:4" ht="15" thickBot="1" x14ac:dyDescent="0.4">
      <c r="B164" s="6">
        <v>176</v>
      </c>
      <c r="C164" s="9">
        <v>92</v>
      </c>
      <c r="D164" s="7">
        <f t="shared" si="2"/>
        <v>1.9130434782608696</v>
      </c>
    </row>
    <row r="165" spans="2:4" ht="15" thickBot="1" x14ac:dyDescent="0.4">
      <c r="B165" s="6">
        <v>180</v>
      </c>
      <c r="C165" s="9">
        <v>92</v>
      </c>
      <c r="D165" s="7">
        <f t="shared" si="2"/>
        <v>1.9565217391304348</v>
      </c>
    </row>
    <row r="166" spans="2:4" ht="15" thickBot="1" x14ac:dyDescent="0.4">
      <c r="B166" s="6">
        <v>106</v>
      </c>
      <c r="C166" s="9">
        <v>92</v>
      </c>
      <c r="D166" s="7">
        <f t="shared" si="2"/>
        <v>1.1521739130434783</v>
      </c>
    </row>
    <row r="167" spans="2:4" ht="15" thickBot="1" x14ac:dyDescent="0.4">
      <c r="B167" s="6">
        <v>158</v>
      </c>
      <c r="C167" s="9">
        <v>92</v>
      </c>
      <c r="D167" s="7">
        <f t="shared" si="2"/>
        <v>1.7173913043478262</v>
      </c>
    </row>
    <row r="168" spans="2:4" ht="15" thickBot="1" x14ac:dyDescent="0.4">
      <c r="B168" s="6">
        <v>168</v>
      </c>
      <c r="C168" s="9">
        <v>92</v>
      </c>
      <c r="D168" s="7">
        <f t="shared" si="2"/>
        <v>1.826086956521739</v>
      </c>
    </row>
    <row r="169" spans="2:4" ht="15" thickBot="1" x14ac:dyDescent="0.4">
      <c r="B169" s="6">
        <v>174</v>
      </c>
      <c r="C169" s="9">
        <v>92</v>
      </c>
      <c r="D169" s="7">
        <f t="shared" si="2"/>
        <v>1.8913043478260869</v>
      </c>
    </row>
    <row r="170" spans="2:4" ht="15" thickBot="1" x14ac:dyDescent="0.4">
      <c r="B170" s="6">
        <v>134</v>
      </c>
      <c r="C170" s="9">
        <v>92</v>
      </c>
      <c r="D170" s="7">
        <f t="shared" si="2"/>
        <v>1.4565217391304348</v>
      </c>
    </row>
    <row r="171" spans="2:4" ht="15" thickBot="1" x14ac:dyDescent="0.4">
      <c r="B171" s="6">
        <v>108</v>
      </c>
      <c r="C171" s="9">
        <v>92</v>
      </c>
      <c r="D171" s="7">
        <f t="shared" si="2"/>
        <v>1.173913043478261</v>
      </c>
    </row>
    <row r="172" spans="2:4" ht="15" thickBot="1" x14ac:dyDescent="0.4">
      <c r="B172" s="6">
        <v>170</v>
      </c>
      <c r="C172" s="9">
        <v>92</v>
      </c>
      <c r="D172" s="7">
        <f t="shared" si="2"/>
        <v>1.8478260869565217</v>
      </c>
    </row>
    <row r="173" spans="2:4" ht="15" thickBot="1" x14ac:dyDescent="0.4">
      <c r="B173" s="6">
        <v>110</v>
      </c>
      <c r="C173" s="9">
        <v>92</v>
      </c>
      <c r="D173" s="7">
        <f t="shared" si="2"/>
        <v>1.1956521739130435</v>
      </c>
    </row>
    <row r="174" spans="2:4" ht="15" thickBot="1" x14ac:dyDescent="0.4">
      <c r="B174" s="6">
        <v>98</v>
      </c>
      <c r="C174" s="9">
        <v>92</v>
      </c>
      <c r="D174" s="7">
        <f t="shared" si="2"/>
        <v>1.0652173913043479</v>
      </c>
    </row>
    <row r="175" spans="2:4" ht="15" thickBot="1" x14ac:dyDescent="0.4">
      <c r="B175" s="6">
        <v>152</v>
      </c>
      <c r="C175" s="9">
        <v>92</v>
      </c>
      <c r="D175" s="7">
        <f t="shared" si="2"/>
        <v>1.6521739130434783</v>
      </c>
    </row>
    <row r="176" spans="2:4" ht="15" thickBot="1" x14ac:dyDescent="0.4">
      <c r="B176" s="6">
        <v>95</v>
      </c>
      <c r="C176" s="9">
        <v>92</v>
      </c>
      <c r="D176" s="7">
        <f t="shared" si="2"/>
        <v>1.0326086956521738</v>
      </c>
    </row>
    <row r="177" spans="2:4" ht="15" thickBot="1" x14ac:dyDescent="0.4">
      <c r="B177" s="6">
        <v>154</v>
      </c>
      <c r="C177" s="9">
        <v>92</v>
      </c>
      <c r="D177" s="7">
        <f t="shared" si="2"/>
        <v>1.673913043478261</v>
      </c>
    </row>
    <row r="178" spans="2:4" ht="15" thickBot="1" x14ac:dyDescent="0.4">
      <c r="B178" s="6">
        <v>124</v>
      </c>
      <c r="C178" s="9">
        <v>92</v>
      </c>
      <c r="D178" s="7">
        <f t="shared" si="2"/>
        <v>1.3478260869565217</v>
      </c>
    </row>
    <row r="179" spans="2:4" ht="15" thickBot="1" x14ac:dyDescent="0.4">
      <c r="B179" s="6">
        <v>102</v>
      </c>
      <c r="C179" s="9">
        <v>92</v>
      </c>
      <c r="D179" s="7">
        <f t="shared" si="2"/>
        <v>1.1086956521739131</v>
      </c>
    </row>
    <row r="180" spans="2:4" ht="15" thickBot="1" x14ac:dyDescent="0.4">
      <c r="B180" s="6">
        <v>160</v>
      </c>
      <c r="C180" s="9">
        <v>92</v>
      </c>
      <c r="D180" s="7">
        <f t="shared" si="2"/>
        <v>1.7391304347826086</v>
      </c>
    </row>
    <row r="181" spans="2:4" ht="15" thickBot="1" x14ac:dyDescent="0.4">
      <c r="B181" s="6">
        <v>128</v>
      </c>
      <c r="C181" s="9">
        <v>92</v>
      </c>
      <c r="D181" s="7">
        <f t="shared" si="2"/>
        <v>1.3913043478260869</v>
      </c>
    </row>
    <row r="182" spans="2:4" ht="15" thickBot="1" x14ac:dyDescent="0.4">
      <c r="B182" s="6">
        <v>100</v>
      </c>
      <c r="C182" s="9">
        <v>92</v>
      </c>
      <c r="D182" s="7">
        <f t="shared" si="2"/>
        <v>1.0869565217391304</v>
      </c>
    </row>
    <row r="183" spans="2:4" ht="15" thickBot="1" x14ac:dyDescent="0.4">
      <c r="B183" s="6">
        <v>170</v>
      </c>
      <c r="C183" s="9">
        <v>92</v>
      </c>
      <c r="D183" s="7">
        <f t="shared" si="2"/>
        <v>1.8478260869565217</v>
      </c>
    </row>
    <row r="184" spans="2:4" ht="15" thickBot="1" x14ac:dyDescent="0.4">
      <c r="B184" s="6">
        <v>148</v>
      </c>
      <c r="C184" s="9">
        <v>92</v>
      </c>
      <c r="D184" s="7">
        <f t="shared" si="2"/>
        <v>1.6086956521739131</v>
      </c>
    </row>
    <row r="185" spans="2:4" ht="15" thickBot="1" x14ac:dyDescent="0.4">
      <c r="B185" s="6">
        <v>132</v>
      </c>
      <c r="C185" s="9">
        <v>92</v>
      </c>
      <c r="D185" s="7">
        <f t="shared" si="2"/>
        <v>1.4347826086956521</v>
      </c>
    </row>
    <row r="186" spans="2:4" ht="15" thickBot="1" x14ac:dyDescent="0.4">
      <c r="B186" s="6">
        <v>170</v>
      </c>
      <c r="C186" s="9">
        <v>92</v>
      </c>
      <c r="D186" s="7">
        <f t="shared" si="2"/>
        <v>1.8478260869565217</v>
      </c>
    </row>
    <row r="187" spans="2:4" ht="15" thickBot="1" x14ac:dyDescent="0.4">
      <c r="B187" s="6">
        <v>150</v>
      </c>
      <c r="C187" s="9">
        <v>92</v>
      </c>
      <c r="D187" s="7">
        <f t="shared" si="2"/>
        <v>1.6304347826086956</v>
      </c>
    </row>
    <row r="188" spans="2:4" ht="15" thickBot="1" x14ac:dyDescent="0.4">
      <c r="B188" s="6">
        <v>128</v>
      </c>
      <c r="C188" s="9">
        <v>92</v>
      </c>
      <c r="D188" s="7">
        <f t="shared" si="2"/>
        <v>1.3913043478260869</v>
      </c>
    </row>
    <row r="189" spans="2:4" ht="15" thickBot="1" x14ac:dyDescent="0.4">
      <c r="B189" s="6">
        <v>116</v>
      </c>
      <c r="C189" s="9">
        <v>92</v>
      </c>
      <c r="D189" s="7">
        <f t="shared" si="2"/>
        <v>1.2608695652173914</v>
      </c>
    </row>
    <row r="190" spans="2:4" ht="15" thickBot="1" x14ac:dyDescent="0.4">
      <c r="B190" s="6">
        <v>95</v>
      </c>
      <c r="C190" s="9">
        <v>92</v>
      </c>
      <c r="D190" s="7">
        <f t="shared" si="2"/>
        <v>1.0326086956521738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90"/>
  <sheetViews>
    <sheetView topLeftCell="A171" workbookViewId="0">
      <selection activeCell="C2" sqref="C2:C190"/>
    </sheetView>
  </sheetViews>
  <sheetFormatPr defaultColWidth="9.1796875" defaultRowHeight="14.5" x14ac:dyDescent="0.35"/>
  <cols>
    <col min="2" max="3" width="8.54296875" bestFit="1" customWidth="1"/>
  </cols>
  <sheetData>
    <row r="1" spans="2:4" ht="15" thickBot="1" x14ac:dyDescent="0.4">
      <c r="C1" t="s">
        <v>228</v>
      </c>
    </row>
    <row r="2" spans="2:4" ht="15" thickBot="1" x14ac:dyDescent="0.4">
      <c r="B2" s="16">
        <v>45805</v>
      </c>
      <c r="C2" s="10">
        <v>45796</v>
      </c>
      <c r="D2" s="13">
        <f>(B2-C2)</f>
        <v>9</v>
      </c>
    </row>
    <row r="3" spans="2:4" ht="15" thickBot="1" x14ac:dyDescent="0.4">
      <c r="B3" s="17">
        <v>45824</v>
      </c>
      <c r="C3" s="11">
        <v>45815</v>
      </c>
      <c r="D3" s="13">
        <f t="shared" ref="D3:D66" si="0">(B3-C3)</f>
        <v>9</v>
      </c>
    </row>
    <row r="4" spans="2:4" ht="15" thickBot="1" x14ac:dyDescent="0.4">
      <c r="B4" s="17">
        <v>45834</v>
      </c>
      <c r="C4" s="11">
        <v>45824</v>
      </c>
      <c r="D4" s="13">
        <f t="shared" si="0"/>
        <v>10</v>
      </c>
    </row>
    <row r="5" spans="2:4" ht="15" thickBot="1" x14ac:dyDescent="0.4">
      <c r="B5" s="17">
        <v>45811</v>
      </c>
      <c r="C5" s="11">
        <v>45802</v>
      </c>
      <c r="D5" s="13">
        <f t="shared" si="0"/>
        <v>9</v>
      </c>
    </row>
    <row r="6" spans="2:4" ht="15" thickBot="1" x14ac:dyDescent="0.4">
      <c r="B6" s="17">
        <v>45812</v>
      </c>
      <c r="C6" s="11">
        <v>45807</v>
      </c>
      <c r="D6" s="13">
        <f t="shared" si="0"/>
        <v>5</v>
      </c>
    </row>
    <row r="7" spans="2:4" ht="15" thickBot="1" x14ac:dyDescent="0.4">
      <c r="B7" s="17">
        <v>45830</v>
      </c>
      <c r="C7" s="11">
        <v>45823</v>
      </c>
      <c r="D7" s="13">
        <f t="shared" si="0"/>
        <v>7</v>
      </c>
    </row>
    <row r="8" spans="2:4" ht="15" thickBot="1" x14ac:dyDescent="0.4">
      <c r="B8" s="17">
        <v>45829</v>
      </c>
      <c r="C8" s="11">
        <v>45821</v>
      </c>
      <c r="D8" s="13">
        <f t="shared" si="0"/>
        <v>8</v>
      </c>
    </row>
    <row r="9" spans="2:4" ht="15" thickBot="1" x14ac:dyDescent="0.4">
      <c r="B9" s="17">
        <v>45821</v>
      </c>
      <c r="C9" s="11">
        <v>45813</v>
      </c>
      <c r="D9" s="13">
        <f t="shared" si="0"/>
        <v>8</v>
      </c>
    </row>
    <row r="10" spans="2:4" ht="15" thickBot="1" x14ac:dyDescent="0.4">
      <c r="B10" s="17">
        <v>45805</v>
      </c>
      <c r="C10" s="11">
        <v>45800</v>
      </c>
      <c r="D10" s="13">
        <f t="shared" si="0"/>
        <v>5</v>
      </c>
    </row>
    <row r="11" spans="2:4" ht="15" thickBot="1" x14ac:dyDescent="0.4">
      <c r="B11" s="17">
        <v>45837</v>
      </c>
      <c r="C11" s="11">
        <v>45830</v>
      </c>
      <c r="D11" s="13">
        <f t="shared" si="0"/>
        <v>7</v>
      </c>
    </row>
    <row r="12" spans="2:4" ht="15" thickBot="1" x14ac:dyDescent="0.4">
      <c r="B12" s="17">
        <v>45836</v>
      </c>
      <c r="C12" s="11">
        <v>45828</v>
      </c>
      <c r="D12" s="13">
        <f t="shared" si="0"/>
        <v>8</v>
      </c>
    </row>
    <row r="13" spans="2:4" ht="15" thickBot="1" x14ac:dyDescent="0.4">
      <c r="B13" s="17">
        <v>45851</v>
      </c>
      <c r="C13" s="11">
        <v>45842</v>
      </c>
      <c r="D13" s="13">
        <f t="shared" si="0"/>
        <v>9</v>
      </c>
    </row>
    <row r="14" spans="2:4" ht="15" thickBot="1" x14ac:dyDescent="0.4">
      <c r="B14" s="17">
        <v>45847</v>
      </c>
      <c r="C14" s="11">
        <v>45841</v>
      </c>
      <c r="D14" s="13">
        <f t="shared" si="0"/>
        <v>6</v>
      </c>
    </row>
    <row r="15" spans="2:4" ht="15" thickBot="1" x14ac:dyDescent="0.4">
      <c r="B15" s="17">
        <v>45844</v>
      </c>
      <c r="C15" s="11">
        <v>45835</v>
      </c>
      <c r="D15" s="13">
        <f t="shared" si="0"/>
        <v>9</v>
      </c>
    </row>
    <row r="16" spans="2:4" ht="15" thickBot="1" x14ac:dyDescent="0.4">
      <c r="B16" s="17">
        <v>45794</v>
      </c>
      <c r="C16" s="11">
        <v>45784</v>
      </c>
      <c r="D16" s="13">
        <f t="shared" si="0"/>
        <v>10</v>
      </c>
    </row>
    <row r="17" spans="2:4" ht="15" thickBot="1" x14ac:dyDescent="0.4">
      <c r="B17" s="17">
        <v>45834</v>
      </c>
      <c r="C17" s="11">
        <v>45826</v>
      </c>
      <c r="D17" s="13">
        <f t="shared" si="0"/>
        <v>8</v>
      </c>
    </row>
    <row r="18" spans="2:4" ht="15" thickBot="1" x14ac:dyDescent="0.4">
      <c r="B18" s="17">
        <v>45796</v>
      </c>
      <c r="C18" s="11">
        <v>45787</v>
      </c>
      <c r="D18" s="13">
        <f t="shared" si="0"/>
        <v>9</v>
      </c>
    </row>
    <row r="19" spans="2:4" ht="15" thickBot="1" x14ac:dyDescent="0.4">
      <c r="B19" s="17">
        <v>45787</v>
      </c>
      <c r="C19" s="11">
        <v>45780</v>
      </c>
      <c r="D19" s="13">
        <f t="shared" si="0"/>
        <v>7</v>
      </c>
    </row>
    <row r="20" spans="2:4" ht="15" thickBot="1" x14ac:dyDescent="0.4">
      <c r="B20" s="17">
        <v>45817</v>
      </c>
      <c r="C20" s="11">
        <v>45811</v>
      </c>
      <c r="D20" s="13">
        <f t="shared" si="0"/>
        <v>6</v>
      </c>
    </row>
    <row r="21" spans="2:4" ht="15" thickBot="1" x14ac:dyDescent="0.4">
      <c r="B21" s="17">
        <v>45793</v>
      </c>
      <c r="C21" s="11">
        <v>45784</v>
      </c>
      <c r="D21" s="13">
        <f t="shared" si="0"/>
        <v>9</v>
      </c>
    </row>
    <row r="22" spans="2:4" ht="15" thickBot="1" x14ac:dyDescent="0.4">
      <c r="B22" s="17">
        <v>45793</v>
      </c>
      <c r="C22" s="11">
        <v>45787</v>
      </c>
      <c r="D22" s="13">
        <f t="shared" si="0"/>
        <v>6</v>
      </c>
    </row>
    <row r="23" spans="2:4" ht="15" thickBot="1" x14ac:dyDescent="0.4">
      <c r="B23" s="17">
        <v>45859</v>
      </c>
      <c r="C23" s="11">
        <v>45853</v>
      </c>
      <c r="D23" s="13">
        <f t="shared" si="0"/>
        <v>6</v>
      </c>
    </row>
    <row r="24" spans="2:4" ht="15" thickBot="1" x14ac:dyDescent="0.4">
      <c r="B24" s="17">
        <v>45846</v>
      </c>
      <c r="C24" s="11">
        <v>45839</v>
      </c>
      <c r="D24" s="13">
        <f t="shared" si="0"/>
        <v>7</v>
      </c>
    </row>
    <row r="25" spans="2:4" ht="15" thickBot="1" x14ac:dyDescent="0.4">
      <c r="B25" s="17">
        <v>45854</v>
      </c>
      <c r="C25" s="11">
        <v>45846</v>
      </c>
      <c r="D25" s="13">
        <f t="shared" si="0"/>
        <v>8</v>
      </c>
    </row>
    <row r="26" spans="2:4" ht="15" thickBot="1" x14ac:dyDescent="0.4">
      <c r="B26" s="17">
        <v>45841</v>
      </c>
      <c r="C26" s="11">
        <v>45832</v>
      </c>
      <c r="D26" s="13">
        <f t="shared" si="0"/>
        <v>9</v>
      </c>
    </row>
    <row r="27" spans="2:4" ht="15" thickBot="1" x14ac:dyDescent="0.4">
      <c r="B27" s="17">
        <v>45822</v>
      </c>
      <c r="C27" s="11">
        <v>45815</v>
      </c>
      <c r="D27" s="13">
        <f t="shared" si="0"/>
        <v>7</v>
      </c>
    </row>
    <row r="28" spans="2:4" ht="15" thickBot="1" x14ac:dyDescent="0.4">
      <c r="B28" s="17">
        <v>45807</v>
      </c>
      <c r="C28" s="11">
        <v>45799</v>
      </c>
      <c r="D28" s="13">
        <f t="shared" si="0"/>
        <v>8</v>
      </c>
    </row>
    <row r="29" spans="2:4" ht="15" thickBot="1" x14ac:dyDescent="0.4">
      <c r="B29" s="17">
        <v>45848</v>
      </c>
      <c r="C29" s="11">
        <v>45838</v>
      </c>
      <c r="D29" s="13">
        <f t="shared" si="0"/>
        <v>10</v>
      </c>
    </row>
    <row r="30" spans="2:4" ht="15" thickBot="1" x14ac:dyDescent="0.4">
      <c r="B30" s="17">
        <v>45819</v>
      </c>
      <c r="C30" s="11">
        <v>45813</v>
      </c>
      <c r="D30" s="13">
        <f t="shared" si="0"/>
        <v>6</v>
      </c>
    </row>
    <row r="31" spans="2:4" ht="15" thickBot="1" x14ac:dyDescent="0.4">
      <c r="B31" s="17">
        <v>45791</v>
      </c>
      <c r="C31" s="11">
        <v>45786</v>
      </c>
      <c r="D31" s="13">
        <f t="shared" si="0"/>
        <v>5</v>
      </c>
    </row>
    <row r="32" spans="2:4" ht="15" thickBot="1" x14ac:dyDescent="0.4">
      <c r="B32" s="17">
        <v>45829</v>
      </c>
      <c r="C32" s="11">
        <v>45820</v>
      </c>
      <c r="D32" s="13">
        <f t="shared" si="0"/>
        <v>9</v>
      </c>
    </row>
    <row r="33" spans="2:4" ht="15" thickBot="1" x14ac:dyDescent="0.4">
      <c r="B33" s="17">
        <v>45816</v>
      </c>
      <c r="C33" s="11">
        <v>45807</v>
      </c>
      <c r="D33" s="13">
        <f t="shared" si="0"/>
        <v>9</v>
      </c>
    </row>
    <row r="34" spans="2:4" ht="15" thickBot="1" x14ac:dyDescent="0.4">
      <c r="B34" s="17">
        <v>45840</v>
      </c>
      <c r="C34" s="11">
        <v>45832</v>
      </c>
      <c r="D34" s="13">
        <f t="shared" si="0"/>
        <v>8</v>
      </c>
    </row>
    <row r="35" spans="2:4" ht="15" thickBot="1" x14ac:dyDescent="0.4">
      <c r="B35" s="17">
        <v>45831</v>
      </c>
      <c r="C35" s="11">
        <v>45822</v>
      </c>
      <c r="D35" s="13">
        <f t="shared" si="0"/>
        <v>9</v>
      </c>
    </row>
    <row r="36" spans="2:4" ht="15" thickBot="1" x14ac:dyDescent="0.4">
      <c r="B36" s="17">
        <v>45836</v>
      </c>
      <c r="C36" s="11">
        <v>45830</v>
      </c>
      <c r="D36" s="13">
        <f t="shared" si="0"/>
        <v>6</v>
      </c>
    </row>
    <row r="37" spans="2:4" ht="15" thickBot="1" x14ac:dyDescent="0.4">
      <c r="B37" s="17">
        <v>45826</v>
      </c>
      <c r="C37" s="11">
        <v>45818</v>
      </c>
      <c r="D37" s="13">
        <f t="shared" si="0"/>
        <v>8</v>
      </c>
    </row>
    <row r="38" spans="2:4" ht="15" thickBot="1" x14ac:dyDescent="0.4">
      <c r="B38" s="17">
        <v>45825</v>
      </c>
      <c r="C38" s="11">
        <v>45818</v>
      </c>
      <c r="D38" s="13">
        <f t="shared" si="0"/>
        <v>7</v>
      </c>
    </row>
    <row r="39" spans="2:4" ht="15" thickBot="1" x14ac:dyDescent="0.4">
      <c r="B39" s="17">
        <v>45805</v>
      </c>
      <c r="C39" s="11">
        <v>45795</v>
      </c>
      <c r="D39" s="13">
        <f t="shared" si="0"/>
        <v>10</v>
      </c>
    </row>
    <row r="40" spans="2:4" ht="15" thickBot="1" x14ac:dyDescent="0.4">
      <c r="B40" s="17">
        <v>45842</v>
      </c>
      <c r="C40" s="11">
        <v>45833</v>
      </c>
      <c r="D40" s="13">
        <f t="shared" si="0"/>
        <v>9</v>
      </c>
    </row>
    <row r="41" spans="2:4" ht="15" thickBot="1" x14ac:dyDescent="0.4">
      <c r="B41" s="17">
        <v>45786</v>
      </c>
      <c r="C41" s="11">
        <v>45780</v>
      </c>
      <c r="D41" s="13">
        <f t="shared" si="0"/>
        <v>6</v>
      </c>
    </row>
    <row r="42" spans="2:4" ht="15" thickBot="1" x14ac:dyDescent="0.4">
      <c r="B42" s="17">
        <v>45836</v>
      </c>
      <c r="C42" s="11">
        <v>45828</v>
      </c>
      <c r="D42" s="13">
        <f t="shared" si="0"/>
        <v>8</v>
      </c>
    </row>
    <row r="43" spans="2:4" ht="15" thickBot="1" x14ac:dyDescent="0.4">
      <c r="B43" s="17">
        <v>45797</v>
      </c>
      <c r="C43" s="11">
        <v>45787</v>
      </c>
      <c r="D43" s="13">
        <f t="shared" si="0"/>
        <v>10</v>
      </c>
    </row>
    <row r="44" spans="2:4" ht="15" thickBot="1" x14ac:dyDescent="0.4">
      <c r="B44" s="17">
        <v>45816</v>
      </c>
      <c r="C44" s="11">
        <v>45806</v>
      </c>
      <c r="D44" s="13">
        <f t="shared" si="0"/>
        <v>10</v>
      </c>
    </row>
    <row r="45" spans="2:4" ht="15" thickBot="1" x14ac:dyDescent="0.4">
      <c r="B45" s="17">
        <v>45818</v>
      </c>
      <c r="C45" s="11">
        <v>45808</v>
      </c>
      <c r="D45" s="13">
        <f t="shared" si="0"/>
        <v>10</v>
      </c>
    </row>
    <row r="46" spans="2:4" ht="15" thickBot="1" x14ac:dyDescent="0.4">
      <c r="B46" s="17">
        <v>45804</v>
      </c>
      <c r="C46" s="11">
        <v>45796</v>
      </c>
      <c r="D46" s="13">
        <f t="shared" si="0"/>
        <v>8</v>
      </c>
    </row>
    <row r="47" spans="2:4" ht="15" thickBot="1" x14ac:dyDescent="0.4">
      <c r="B47" s="17">
        <v>45800</v>
      </c>
      <c r="C47" s="11">
        <v>45792</v>
      </c>
      <c r="D47" s="13">
        <f t="shared" si="0"/>
        <v>8</v>
      </c>
    </row>
    <row r="48" spans="2:4" ht="15" thickBot="1" x14ac:dyDescent="0.4">
      <c r="B48" s="17">
        <v>45795</v>
      </c>
      <c r="C48" s="11">
        <v>45786</v>
      </c>
      <c r="D48" s="13">
        <f t="shared" si="0"/>
        <v>9</v>
      </c>
    </row>
    <row r="49" spans="2:4" ht="15" thickBot="1" x14ac:dyDescent="0.4">
      <c r="B49" s="17">
        <v>45830</v>
      </c>
      <c r="C49" s="11">
        <v>45824</v>
      </c>
      <c r="D49" s="13">
        <f t="shared" si="0"/>
        <v>6</v>
      </c>
    </row>
    <row r="50" spans="2:4" ht="15" thickBot="1" x14ac:dyDescent="0.4">
      <c r="B50" s="17">
        <v>45826</v>
      </c>
      <c r="C50" s="11">
        <v>45816</v>
      </c>
      <c r="D50" s="13">
        <f t="shared" si="0"/>
        <v>10</v>
      </c>
    </row>
    <row r="51" spans="2:4" ht="15" thickBot="1" x14ac:dyDescent="0.4">
      <c r="B51" s="17">
        <v>45806</v>
      </c>
      <c r="C51" s="11">
        <v>45800</v>
      </c>
      <c r="D51" s="13">
        <f t="shared" si="0"/>
        <v>6</v>
      </c>
    </row>
    <row r="52" spans="2:4" ht="15" thickBot="1" x14ac:dyDescent="0.4">
      <c r="B52" s="17">
        <v>45856</v>
      </c>
      <c r="C52" s="11">
        <v>45847</v>
      </c>
      <c r="D52" s="13">
        <f t="shared" si="0"/>
        <v>9</v>
      </c>
    </row>
    <row r="53" spans="2:4" ht="15" thickBot="1" x14ac:dyDescent="0.4">
      <c r="B53" s="17">
        <v>45831</v>
      </c>
      <c r="C53" s="17">
        <v>45821</v>
      </c>
      <c r="D53" s="13">
        <f t="shared" si="0"/>
        <v>10</v>
      </c>
    </row>
    <row r="54" spans="2:4" ht="15" thickBot="1" x14ac:dyDescent="0.4">
      <c r="B54" s="17">
        <v>45838</v>
      </c>
      <c r="C54" s="11">
        <v>45828</v>
      </c>
      <c r="D54" s="13">
        <f t="shared" si="0"/>
        <v>10</v>
      </c>
    </row>
    <row r="55" spans="2:4" ht="15" thickBot="1" x14ac:dyDescent="0.4">
      <c r="B55" s="17">
        <v>45796</v>
      </c>
      <c r="C55" s="11">
        <v>45789</v>
      </c>
      <c r="D55" s="13">
        <f t="shared" si="0"/>
        <v>7</v>
      </c>
    </row>
    <row r="56" spans="2:4" ht="15" thickBot="1" x14ac:dyDescent="0.4">
      <c r="B56" s="17">
        <v>45800</v>
      </c>
      <c r="C56" s="11">
        <v>45795</v>
      </c>
      <c r="D56" s="13">
        <f t="shared" si="0"/>
        <v>5</v>
      </c>
    </row>
    <row r="57" spans="2:4" ht="15" thickBot="1" x14ac:dyDescent="0.4">
      <c r="B57" s="17">
        <v>45815</v>
      </c>
      <c r="C57" s="11">
        <v>45805</v>
      </c>
      <c r="D57" s="13">
        <f t="shared" si="0"/>
        <v>10</v>
      </c>
    </row>
    <row r="58" spans="2:4" ht="15" thickBot="1" x14ac:dyDescent="0.4">
      <c r="B58" s="17">
        <v>45831</v>
      </c>
      <c r="C58" s="11">
        <v>45821</v>
      </c>
      <c r="D58" s="13">
        <f t="shared" si="0"/>
        <v>10</v>
      </c>
    </row>
    <row r="59" spans="2:4" ht="15" thickBot="1" x14ac:dyDescent="0.4">
      <c r="B59" s="17">
        <v>45809</v>
      </c>
      <c r="C59" s="11">
        <v>45802</v>
      </c>
      <c r="D59" s="13">
        <f t="shared" si="0"/>
        <v>7</v>
      </c>
    </row>
    <row r="60" spans="2:4" ht="15" thickBot="1" x14ac:dyDescent="0.4">
      <c r="B60" s="17">
        <v>45817</v>
      </c>
      <c r="C60" s="11">
        <v>45807</v>
      </c>
      <c r="D60" s="13">
        <f t="shared" si="0"/>
        <v>10</v>
      </c>
    </row>
    <row r="61" spans="2:4" ht="15" thickBot="1" x14ac:dyDescent="0.4">
      <c r="B61" s="17">
        <v>45784</v>
      </c>
      <c r="C61" s="11">
        <v>45779</v>
      </c>
      <c r="D61" s="13">
        <f t="shared" si="0"/>
        <v>5</v>
      </c>
    </row>
    <row r="62" spans="2:4" ht="15" thickBot="1" x14ac:dyDescent="0.4">
      <c r="B62" s="17">
        <v>45833</v>
      </c>
      <c r="C62" s="11">
        <v>45826</v>
      </c>
      <c r="D62" s="13">
        <f t="shared" si="0"/>
        <v>7</v>
      </c>
    </row>
    <row r="63" spans="2:4" ht="15" thickBot="1" x14ac:dyDescent="0.4">
      <c r="B63" s="17">
        <v>45793</v>
      </c>
      <c r="C63" s="11">
        <v>45788</v>
      </c>
      <c r="D63" s="13">
        <f t="shared" si="0"/>
        <v>5</v>
      </c>
    </row>
    <row r="64" spans="2:4" ht="15" thickBot="1" x14ac:dyDescent="0.4">
      <c r="B64" s="17">
        <v>45855</v>
      </c>
      <c r="C64" s="11">
        <v>45848</v>
      </c>
      <c r="D64" s="13">
        <f t="shared" si="0"/>
        <v>7</v>
      </c>
    </row>
    <row r="65" spans="2:4" ht="15" thickBot="1" x14ac:dyDescent="0.4">
      <c r="B65" s="17">
        <v>45815</v>
      </c>
      <c r="C65" s="11">
        <v>45807</v>
      </c>
      <c r="D65" s="13">
        <f t="shared" si="0"/>
        <v>8</v>
      </c>
    </row>
    <row r="66" spans="2:4" ht="15" thickBot="1" x14ac:dyDescent="0.4">
      <c r="B66" s="17">
        <v>45810</v>
      </c>
      <c r="C66" s="11">
        <v>45803</v>
      </c>
      <c r="D66" s="13">
        <f t="shared" si="0"/>
        <v>7</v>
      </c>
    </row>
    <row r="67" spans="2:4" ht="15" thickBot="1" x14ac:dyDescent="0.4">
      <c r="B67" s="17">
        <v>45813</v>
      </c>
      <c r="C67" s="11">
        <v>45805</v>
      </c>
      <c r="D67" s="13">
        <f t="shared" ref="D67:D130" si="1">(B67-C67)</f>
        <v>8</v>
      </c>
    </row>
    <row r="68" spans="2:4" ht="15" thickBot="1" x14ac:dyDescent="0.4">
      <c r="B68" s="17">
        <v>45825</v>
      </c>
      <c r="C68" s="11">
        <v>45817</v>
      </c>
      <c r="D68" s="13">
        <f t="shared" si="1"/>
        <v>8</v>
      </c>
    </row>
    <row r="69" spans="2:4" ht="15" thickBot="1" x14ac:dyDescent="0.4">
      <c r="B69" s="17">
        <v>45835</v>
      </c>
      <c r="C69" s="11">
        <v>45825</v>
      </c>
      <c r="D69" s="13">
        <f t="shared" si="1"/>
        <v>10</v>
      </c>
    </row>
    <row r="70" spans="2:4" ht="15" thickBot="1" x14ac:dyDescent="0.4">
      <c r="B70" s="17">
        <v>45829</v>
      </c>
      <c r="C70" s="11">
        <v>45820</v>
      </c>
      <c r="D70" s="13">
        <f t="shared" si="1"/>
        <v>9</v>
      </c>
    </row>
    <row r="71" spans="2:4" ht="15" thickBot="1" x14ac:dyDescent="0.4">
      <c r="B71" s="17">
        <v>45848</v>
      </c>
      <c r="C71" s="11">
        <v>45838</v>
      </c>
      <c r="D71" s="13">
        <f t="shared" si="1"/>
        <v>10</v>
      </c>
    </row>
    <row r="72" spans="2:4" ht="15" thickBot="1" x14ac:dyDescent="0.4">
      <c r="B72" s="17">
        <v>45868</v>
      </c>
      <c r="C72" s="11">
        <v>45858</v>
      </c>
      <c r="D72" s="13">
        <f t="shared" si="1"/>
        <v>10</v>
      </c>
    </row>
    <row r="73" spans="2:4" ht="15" thickBot="1" x14ac:dyDescent="0.4">
      <c r="B73" s="17">
        <v>45816</v>
      </c>
      <c r="C73" s="11">
        <v>45806</v>
      </c>
      <c r="D73" s="13">
        <f t="shared" si="1"/>
        <v>10</v>
      </c>
    </row>
    <row r="74" spans="2:4" ht="15" thickBot="1" x14ac:dyDescent="0.4">
      <c r="B74" s="17">
        <v>45796</v>
      </c>
      <c r="C74" s="11">
        <v>45788</v>
      </c>
      <c r="D74" s="13">
        <f t="shared" si="1"/>
        <v>8</v>
      </c>
    </row>
    <row r="75" spans="2:4" ht="15" thickBot="1" x14ac:dyDescent="0.4">
      <c r="B75" s="17">
        <v>45797</v>
      </c>
      <c r="C75" s="11">
        <v>45787</v>
      </c>
      <c r="D75" s="13">
        <f t="shared" si="1"/>
        <v>10</v>
      </c>
    </row>
    <row r="76" spans="2:4" ht="15" thickBot="1" x14ac:dyDescent="0.4">
      <c r="B76" s="17">
        <v>45823</v>
      </c>
      <c r="C76" s="11">
        <v>45817</v>
      </c>
      <c r="D76" s="13">
        <f t="shared" si="1"/>
        <v>6</v>
      </c>
    </row>
    <row r="77" spans="2:4" ht="15" thickBot="1" x14ac:dyDescent="0.4">
      <c r="B77" s="17">
        <v>45797</v>
      </c>
      <c r="C77" s="11">
        <v>45787</v>
      </c>
      <c r="D77" s="13">
        <f t="shared" si="1"/>
        <v>10</v>
      </c>
    </row>
    <row r="78" spans="2:4" ht="15" thickBot="1" x14ac:dyDescent="0.4">
      <c r="B78" s="17">
        <v>45813</v>
      </c>
      <c r="C78" s="11">
        <v>45805</v>
      </c>
      <c r="D78" s="13">
        <f t="shared" si="1"/>
        <v>8</v>
      </c>
    </row>
    <row r="79" spans="2:4" ht="15" thickBot="1" x14ac:dyDescent="0.4">
      <c r="B79" s="17">
        <v>45855</v>
      </c>
      <c r="C79" s="11">
        <v>45848</v>
      </c>
      <c r="D79" s="13">
        <f t="shared" si="1"/>
        <v>7</v>
      </c>
    </row>
    <row r="80" spans="2:4" ht="15" thickBot="1" x14ac:dyDescent="0.4">
      <c r="B80" s="17">
        <v>45812</v>
      </c>
      <c r="C80" s="11">
        <v>45805</v>
      </c>
      <c r="D80" s="13">
        <f t="shared" si="1"/>
        <v>7</v>
      </c>
    </row>
    <row r="81" spans="2:4" ht="15" thickBot="1" x14ac:dyDescent="0.4">
      <c r="B81" s="17">
        <v>45799</v>
      </c>
      <c r="C81" s="11">
        <v>45792</v>
      </c>
      <c r="D81" s="13">
        <f t="shared" si="1"/>
        <v>7</v>
      </c>
    </row>
    <row r="82" spans="2:4" ht="15" thickBot="1" x14ac:dyDescent="0.4">
      <c r="B82" s="17">
        <v>45786</v>
      </c>
      <c r="C82" s="11">
        <v>45778</v>
      </c>
      <c r="D82" s="13">
        <f t="shared" si="1"/>
        <v>8</v>
      </c>
    </row>
    <row r="83" spans="2:4" ht="15" thickBot="1" x14ac:dyDescent="0.4">
      <c r="B83" s="17">
        <v>45804</v>
      </c>
      <c r="C83" s="11">
        <v>45798</v>
      </c>
      <c r="D83" s="13">
        <f t="shared" si="1"/>
        <v>6</v>
      </c>
    </row>
    <row r="84" spans="2:4" ht="15" thickBot="1" x14ac:dyDescent="0.4">
      <c r="B84" s="17">
        <v>45800</v>
      </c>
      <c r="C84" s="11">
        <v>45794</v>
      </c>
      <c r="D84" s="13">
        <f t="shared" si="1"/>
        <v>6</v>
      </c>
    </row>
    <row r="85" spans="2:4" ht="15" thickBot="1" x14ac:dyDescent="0.4">
      <c r="B85" s="17">
        <v>45858</v>
      </c>
      <c r="C85" s="11">
        <v>45851</v>
      </c>
      <c r="D85" s="13">
        <f t="shared" si="1"/>
        <v>7</v>
      </c>
    </row>
    <row r="86" spans="2:4" ht="15" thickBot="1" x14ac:dyDescent="0.4">
      <c r="B86" s="17">
        <v>45856</v>
      </c>
      <c r="C86" s="11">
        <v>45847</v>
      </c>
      <c r="D86" s="13">
        <f t="shared" si="1"/>
        <v>9</v>
      </c>
    </row>
    <row r="87" spans="2:4" ht="15" thickBot="1" x14ac:dyDescent="0.4">
      <c r="B87" s="17">
        <v>45821</v>
      </c>
      <c r="C87" s="11">
        <v>45814</v>
      </c>
      <c r="D87" s="13">
        <f t="shared" si="1"/>
        <v>7</v>
      </c>
    </row>
    <row r="88" spans="2:4" ht="15" thickBot="1" x14ac:dyDescent="0.4">
      <c r="B88" s="17">
        <v>45813</v>
      </c>
      <c r="C88" s="11">
        <v>45805</v>
      </c>
      <c r="D88" s="13">
        <f t="shared" si="1"/>
        <v>8</v>
      </c>
    </row>
    <row r="89" spans="2:4" ht="15" thickBot="1" x14ac:dyDescent="0.4">
      <c r="B89" s="17">
        <v>45842</v>
      </c>
      <c r="C89" s="11">
        <v>45834</v>
      </c>
      <c r="D89" s="13">
        <f t="shared" si="1"/>
        <v>8</v>
      </c>
    </row>
    <row r="90" spans="2:4" ht="15" thickBot="1" x14ac:dyDescent="0.4">
      <c r="B90" s="17">
        <v>45787</v>
      </c>
      <c r="C90" s="11">
        <v>45781</v>
      </c>
      <c r="D90" s="13">
        <f t="shared" si="1"/>
        <v>6</v>
      </c>
    </row>
    <row r="91" spans="2:4" ht="15" thickBot="1" x14ac:dyDescent="0.4">
      <c r="B91" s="17">
        <v>45814</v>
      </c>
      <c r="C91" s="11">
        <v>45804</v>
      </c>
      <c r="D91" s="13">
        <f t="shared" si="1"/>
        <v>10</v>
      </c>
    </row>
    <row r="92" spans="2:4" ht="15" thickBot="1" x14ac:dyDescent="0.4">
      <c r="B92" s="17">
        <v>45809</v>
      </c>
      <c r="C92" s="11">
        <v>45799</v>
      </c>
      <c r="D92" s="13">
        <f t="shared" si="1"/>
        <v>10</v>
      </c>
    </row>
    <row r="93" spans="2:4" ht="15" thickBot="1" x14ac:dyDescent="0.4">
      <c r="B93" s="17">
        <v>45858</v>
      </c>
      <c r="C93" s="11">
        <v>45848</v>
      </c>
      <c r="D93" s="13">
        <f t="shared" si="1"/>
        <v>10</v>
      </c>
    </row>
    <row r="94" spans="2:4" ht="15" thickBot="1" x14ac:dyDescent="0.4">
      <c r="B94" s="17">
        <v>45815</v>
      </c>
      <c r="C94" s="11">
        <v>45806</v>
      </c>
      <c r="D94" s="13">
        <f t="shared" si="1"/>
        <v>9</v>
      </c>
    </row>
    <row r="95" spans="2:4" ht="15" thickBot="1" x14ac:dyDescent="0.4">
      <c r="B95" s="17">
        <v>45834</v>
      </c>
      <c r="C95" s="11">
        <v>45828</v>
      </c>
      <c r="D95" s="13">
        <f t="shared" si="1"/>
        <v>6</v>
      </c>
    </row>
    <row r="96" spans="2:4" ht="15" thickBot="1" x14ac:dyDescent="0.4">
      <c r="B96" s="17">
        <v>45833</v>
      </c>
      <c r="C96" s="11">
        <v>45823</v>
      </c>
      <c r="D96" s="13">
        <f t="shared" si="1"/>
        <v>10</v>
      </c>
    </row>
    <row r="97" spans="2:4" ht="15" thickBot="1" x14ac:dyDescent="0.4">
      <c r="B97" s="17">
        <v>45860</v>
      </c>
      <c r="C97" s="11">
        <v>45850</v>
      </c>
      <c r="D97" s="13">
        <f t="shared" si="1"/>
        <v>10</v>
      </c>
    </row>
    <row r="98" spans="2:4" ht="15" thickBot="1" x14ac:dyDescent="0.4">
      <c r="B98" s="17">
        <v>45798</v>
      </c>
      <c r="C98" s="11">
        <v>45790</v>
      </c>
      <c r="D98" s="13">
        <f t="shared" si="1"/>
        <v>8</v>
      </c>
    </row>
    <row r="99" spans="2:4" ht="15" thickBot="1" x14ac:dyDescent="0.4">
      <c r="B99" s="17">
        <v>45794</v>
      </c>
      <c r="C99" s="11">
        <v>45785</v>
      </c>
      <c r="D99" s="13">
        <f t="shared" si="1"/>
        <v>9</v>
      </c>
    </row>
    <row r="100" spans="2:4" ht="15" thickBot="1" x14ac:dyDescent="0.4">
      <c r="B100" s="17">
        <v>45805</v>
      </c>
      <c r="C100" s="11">
        <v>45799</v>
      </c>
      <c r="D100" s="13">
        <f t="shared" si="1"/>
        <v>6</v>
      </c>
    </row>
    <row r="101" spans="2:4" ht="15" thickBot="1" x14ac:dyDescent="0.4">
      <c r="B101" s="17">
        <v>45852</v>
      </c>
      <c r="C101" s="11">
        <v>45844</v>
      </c>
      <c r="D101" s="13">
        <f t="shared" si="1"/>
        <v>8</v>
      </c>
    </row>
    <row r="102" spans="2:4" ht="15" thickBot="1" x14ac:dyDescent="0.4">
      <c r="B102" s="17">
        <v>45835</v>
      </c>
      <c r="C102" s="11">
        <v>45825</v>
      </c>
      <c r="D102" s="13">
        <f t="shared" si="1"/>
        <v>10</v>
      </c>
    </row>
    <row r="103" spans="2:4" ht="15" thickBot="1" x14ac:dyDescent="0.4">
      <c r="B103" s="17">
        <v>45842</v>
      </c>
      <c r="C103" s="11">
        <v>45835</v>
      </c>
      <c r="D103" s="13">
        <f t="shared" si="1"/>
        <v>7</v>
      </c>
    </row>
    <row r="104" spans="2:4" ht="15" thickBot="1" x14ac:dyDescent="0.4">
      <c r="B104" s="17">
        <v>45845</v>
      </c>
      <c r="C104" s="11">
        <v>45836</v>
      </c>
      <c r="D104" s="13">
        <f t="shared" si="1"/>
        <v>9</v>
      </c>
    </row>
    <row r="105" spans="2:4" ht="15" thickBot="1" x14ac:dyDescent="0.4">
      <c r="B105" s="17">
        <v>45805</v>
      </c>
      <c r="C105" s="11">
        <v>45795</v>
      </c>
      <c r="D105" s="13">
        <f t="shared" si="1"/>
        <v>10</v>
      </c>
    </row>
    <row r="106" spans="2:4" ht="15" thickBot="1" x14ac:dyDescent="0.4">
      <c r="B106" s="17">
        <v>45848</v>
      </c>
      <c r="C106" s="11">
        <v>45838</v>
      </c>
      <c r="D106" s="13">
        <f t="shared" si="1"/>
        <v>10</v>
      </c>
    </row>
    <row r="107" spans="2:4" ht="15" thickBot="1" x14ac:dyDescent="0.4">
      <c r="B107" s="17">
        <v>45853</v>
      </c>
      <c r="C107" s="11">
        <v>45845</v>
      </c>
      <c r="D107" s="13">
        <f t="shared" si="1"/>
        <v>8</v>
      </c>
    </row>
    <row r="108" spans="2:4" ht="15" thickBot="1" x14ac:dyDescent="0.4">
      <c r="B108" s="17">
        <v>45816</v>
      </c>
      <c r="C108" s="11">
        <v>45807</v>
      </c>
      <c r="D108" s="13">
        <f t="shared" si="1"/>
        <v>9</v>
      </c>
    </row>
    <row r="109" spans="2:4" ht="15" thickBot="1" x14ac:dyDescent="0.4">
      <c r="B109" s="17">
        <v>45794</v>
      </c>
      <c r="C109" s="11">
        <v>45787</v>
      </c>
      <c r="D109" s="13">
        <f t="shared" si="1"/>
        <v>7</v>
      </c>
    </row>
    <row r="110" spans="2:4" ht="15" thickBot="1" x14ac:dyDescent="0.4">
      <c r="B110" s="17">
        <v>45828</v>
      </c>
      <c r="C110" s="11">
        <v>45822</v>
      </c>
      <c r="D110" s="13">
        <f t="shared" si="1"/>
        <v>6</v>
      </c>
    </row>
    <row r="111" spans="2:4" ht="15" thickBot="1" x14ac:dyDescent="0.4">
      <c r="B111" s="17">
        <v>45844</v>
      </c>
      <c r="C111" s="11">
        <v>45834</v>
      </c>
      <c r="D111" s="13">
        <f t="shared" si="1"/>
        <v>10</v>
      </c>
    </row>
    <row r="112" spans="2:4" ht="15" thickBot="1" x14ac:dyDescent="0.4">
      <c r="B112" s="17">
        <v>45797</v>
      </c>
      <c r="C112" s="11">
        <v>45789</v>
      </c>
      <c r="D112" s="13">
        <f t="shared" si="1"/>
        <v>8</v>
      </c>
    </row>
    <row r="113" spans="2:4" ht="15" thickBot="1" x14ac:dyDescent="0.4">
      <c r="B113" s="17">
        <v>45813</v>
      </c>
      <c r="C113" s="11">
        <v>45807</v>
      </c>
      <c r="D113" s="13">
        <f t="shared" si="1"/>
        <v>6</v>
      </c>
    </row>
    <row r="114" spans="2:4" ht="15" thickBot="1" x14ac:dyDescent="0.4">
      <c r="B114" s="17">
        <v>45796</v>
      </c>
      <c r="C114" s="11">
        <v>45787</v>
      </c>
      <c r="D114" s="13">
        <f t="shared" si="1"/>
        <v>9</v>
      </c>
    </row>
    <row r="115" spans="2:4" ht="15" thickBot="1" x14ac:dyDescent="0.4">
      <c r="B115" s="17">
        <v>45800</v>
      </c>
      <c r="C115" s="11">
        <v>45794</v>
      </c>
      <c r="D115" s="13">
        <f t="shared" si="1"/>
        <v>6</v>
      </c>
    </row>
    <row r="116" spans="2:4" ht="15" thickBot="1" x14ac:dyDescent="0.4">
      <c r="B116" s="17">
        <v>45815</v>
      </c>
      <c r="C116" s="11">
        <v>45805</v>
      </c>
      <c r="D116" s="13">
        <f t="shared" si="1"/>
        <v>10</v>
      </c>
    </row>
    <row r="117" spans="2:4" ht="15" thickBot="1" x14ac:dyDescent="0.4">
      <c r="B117" s="17">
        <v>45793</v>
      </c>
      <c r="C117" s="11">
        <v>45788</v>
      </c>
      <c r="D117" s="13">
        <f t="shared" si="1"/>
        <v>5</v>
      </c>
    </row>
    <row r="118" spans="2:4" ht="15" thickBot="1" x14ac:dyDescent="0.4">
      <c r="B118" s="17">
        <v>45795</v>
      </c>
      <c r="C118" s="11">
        <v>45786</v>
      </c>
      <c r="D118" s="13">
        <f t="shared" si="1"/>
        <v>9</v>
      </c>
    </row>
    <row r="119" spans="2:4" ht="15" thickBot="1" x14ac:dyDescent="0.4">
      <c r="B119" s="17">
        <v>45787</v>
      </c>
      <c r="C119" s="11">
        <v>45781</v>
      </c>
      <c r="D119" s="13">
        <f t="shared" si="1"/>
        <v>6</v>
      </c>
    </row>
    <row r="120" spans="2:4" ht="15" thickBot="1" x14ac:dyDescent="0.4">
      <c r="B120" s="17">
        <v>45794</v>
      </c>
      <c r="C120" s="11">
        <v>45788</v>
      </c>
      <c r="D120" s="13">
        <f t="shared" si="1"/>
        <v>6</v>
      </c>
    </row>
    <row r="121" spans="2:4" ht="15" thickBot="1" x14ac:dyDescent="0.4">
      <c r="B121" s="17">
        <v>45787</v>
      </c>
      <c r="C121" s="11">
        <v>45778</v>
      </c>
      <c r="D121" s="13">
        <f t="shared" si="1"/>
        <v>9</v>
      </c>
    </row>
    <row r="122" spans="2:4" ht="15" thickBot="1" x14ac:dyDescent="0.4">
      <c r="B122" s="17">
        <v>45832</v>
      </c>
      <c r="C122" s="11">
        <v>45823</v>
      </c>
      <c r="D122" s="13">
        <f t="shared" si="1"/>
        <v>9</v>
      </c>
    </row>
    <row r="123" spans="2:4" ht="15" thickBot="1" x14ac:dyDescent="0.4">
      <c r="B123" s="17">
        <v>45797</v>
      </c>
      <c r="C123" s="11">
        <v>45787</v>
      </c>
      <c r="D123" s="13">
        <f t="shared" si="1"/>
        <v>10</v>
      </c>
    </row>
    <row r="124" spans="2:4" ht="15" thickBot="1" x14ac:dyDescent="0.4">
      <c r="B124" s="17">
        <v>45824</v>
      </c>
      <c r="C124" s="11">
        <v>45815</v>
      </c>
      <c r="D124" s="13">
        <f t="shared" si="1"/>
        <v>9</v>
      </c>
    </row>
    <row r="125" spans="2:4" ht="15" thickBot="1" x14ac:dyDescent="0.4">
      <c r="B125" s="17">
        <v>45832</v>
      </c>
      <c r="C125" s="11">
        <v>45824</v>
      </c>
      <c r="D125" s="13">
        <f t="shared" si="1"/>
        <v>8</v>
      </c>
    </row>
    <row r="126" spans="2:4" ht="15" thickBot="1" x14ac:dyDescent="0.4">
      <c r="B126" s="17">
        <v>45845</v>
      </c>
      <c r="C126" s="11">
        <v>45838</v>
      </c>
      <c r="D126" s="13">
        <f t="shared" si="1"/>
        <v>7</v>
      </c>
    </row>
    <row r="127" spans="2:4" ht="15" thickBot="1" x14ac:dyDescent="0.4">
      <c r="B127" s="17">
        <v>45787</v>
      </c>
      <c r="C127" s="11">
        <v>45780</v>
      </c>
      <c r="D127" s="13">
        <f t="shared" si="1"/>
        <v>7</v>
      </c>
    </row>
    <row r="128" spans="2:4" ht="15" thickBot="1" x14ac:dyDescent="0.4">
      <c r="B128" s="17">
        <v>45800</v>
      </c>
      <c r="C128" s="11">
        <v>45790</v>
      </c>
      <c r="D128" s="13">
        <f t="shared" si="1"/>
        <v>10</v>
      </c>
    </row>
    <row r="129" spans="2:4" ht="15" thickBot="1" x14ac:dyDescent="0.4">
      <c r="B129" s="17">
        <v>45807</v>
      </c>
      <c r="C129" s="11">
        <v>45799</v>
      </c>
      <c r="D129" s="13">
        <f t="shared" si="1"/>
        <v>8</v>
      </c>
    </row>
    <row r="130" spans="2:4" ht="15" thickBot="1" x14ac:dyDescent="0.4">
      <c r="B130" s="17">
        <v>45836</v>
      </c>
      <c r="C130" s="11">
        <v>45827</v>
      </c>
      <c r="D130" s="13">
        <f t="shared" si="1"/>
        <v>9</v>
      </c>
    </row>
    <row r="131" spans="2:4" ht="15" thickBot="1" x14ac:dyDescent="0.4">
      <c r="B131" s="17">
        <v>45793</v>
      </c>
      <c r="C131" s="11">
        <v>45784</v>
      </c>
      <c r="D131" s="13">
        <f t="shared" ref="D131:D190" si="2">(B131-C131)</f>
        <v>9</v>
      </c>
    </row>
    <row r="132" spans="2:4" ht="15" thickBot="1" x14ac:dyDescent="0.4">
      <c r="B132" s="17">
        <v>45820</v>
      </c>
      <c r="C132" s="11">
        <v>45811</v>
      </c>
      <c r="D132" s="13">
        <f t="shared" si="2"/>
        <v>9</v>
      </c>
    </row>
    <row r="133" spans="2:4" ht="15" thickBot="1" x14ac:dyDescent="0.4">
      <c r="B133" s="17">
        <v>45845</v>
      </c>
      <c r="C133" s="11">
        <v>45838</v>
      </c>
      <c r="D133" s="13">
        <f t="shared" si="2"/>
        <v>7</v>
      </c>
    </row>
    <row r="134" spans="2:4" ht="15" thickBot="1" x14ac:dyDescent="0.4">
      <c r="B134" s="17">
        <v>45808</v>
      </c>
      <c r="C134" s="11">
        <v>45799</v>
      </c>
      <c r="D134" s="13">
        <f t="shared" si="2"/>
        <v>9</v>
      </c>
    </row>
    <row r="135" spans="2:4" ht="15" thickBot="1" x14ac:dyDescent="0.4">
      <c r="B135" s="17">
        <v>45786</v>
      </c>
      <c r="C135" s="11">
        <v>45779</v>
      </c>
      <c r="D135" s="13">
        <f t="shared" si="2"/>
        <v>7</v>
      </c>
    </row>
    <row r="136" spans="2:4" ht="15" thickBot="1" x14ac:dyDescent="0.4">
      <c r="B136" s="17">
        <v>45788</v>
      </c>
      <c r="C136" s="11">
        <v>45782</v>
      </c>
      <c r="D136" s="13">
        <f t="shared" si="2"/>
        <v>6</v>
      </c>
    </row>
    <row r="137" spans="2:4" ht="15" thickBot="1" x14ac:dyDescent="0.4">
      <c r="B137" s="17">
        <v>45835</v>
      </c>
      <c r="C137" s="11">
        <v>45826</v>
      </c>
      <c r="D137" s="13">
        <f t="shared" si="2"/>
        <v>9</v>
      </c>
    </row>
    <row r="138" spans="2:4" ht="15" thickBot="1" x14ac:dyDescent="0.4">
      <c r="B138" s="17">
        <v>45838</v>
      </c>
      <c r="C138" s="11">
        <v>45828</v>
      </c>
      <c r="D138" s="13">
        <f t="shared" si="2"/>
        <v>10</v>
      </c>
    </row>
    <row r="139" spans="2:4" ht="15" thickBot="1" x14ac:dyDescent="0.4">
      <c r="B139" s="17">
        <v>45829</v>
      </c>
      <c r="C139" s="11">
        <v>45823</v>
      </c>
      <c r="D139" s="13">
        <f t="shared" si="2"/>
        <v>6</v>
      </c>
    </row>
    <row r="140" spans="2:4" ht="15" thickBot="1" x14ac:dyDescent="0.4">
      <c r="B140" s="17">
        <v>45837</v>
      </c>
      <c r="C140" s="11">
        <v>45830</v>
      </c>
      <c r="D140" s="13">
        <f t="shared" si="2"/>
        <v>7</v>
      </c>
    </row>
    <row r="141" spans="2:4" ht="15" thickBot="1" x14ac:dyDescent="0.4">
      <c r="B141" s="17">
        <v>45835</v>
      </c>
      <c r="C141" s="11">
        <v>45825</v>
      </c>
      <c r="D141" s="13">
        <f t="shared" si="2"/>
        <v>10</v>
      </c>
    </row>
    <row r="142" spans="2:4" ht="15" thickBot="1" x14ac:dyDescent="0.4">
      <c r="B142" s="17">
        <v>45805</v>
      </c>
      <c r="C142" s="11">
        <v>45800</v>
      </c>
      <c r="D142" s="13">
        <f t="shared" si="2"/>
        <v>5</v>
      </c>
    </row>
    <row r="143" spans="2:4" ht="15" thickBot="1" x14ac:dyDescent="0.4">
      <c r="B143" s="17">
        <v>45851</v>
      </c>
      <c r="C143" s="11">
        <v>45842</v>
      </c>
      <c r="D143" s="13">
        <f t="shared" si="2"/>
        <v>9</v>
      </c>
    </row>
    <row r="144" spans="2:4" ht="15" thickBot="1" x14ac:dyDescent="0.4">
      <c r="B144" s="17">
        <v>45848</v>
      </c>
      <c r="C144" s="11">
        <v>45838</v>
      </c>
      <c r="D144" s="13">
        <f t="shared" si="2"/>
        <v>10</v>
      </c>
    </row>
    <row r="145" spans="2:4" ht="15" thickBot="1" x14ac:dyDescent="0.4">
      <c r="B145" s="17">
        <v>45799</v>
      </c>
      <c r="C145" s="11">
        <v>45789</v>
      </c>
      <c r="D145" s="13">
        <f t="shared" si="2"/>
        <v>10</v>
      </c>
    </row>
    <row r="146" spans="2:4" ht="15" thickBot="1" x14ac:dyDescent="0.4">
      <c r="B146" s="17">
        <v>45789</v>
      </c>
      <c r="C146" s="11">
        <v>45783</v>
      </c>
      <c r="D146" s="13">
        <f t="shared" si="2"/>
        <v>6</v>
      </c>
    </row>
    <row r="147" spans="2:4" ht="15" thickBot="1" x14ac:dyDescent="0.4">
      <c r="B147" s="17">
        <v>45813</v>
      </c>
      <c r="C147" s="11">
        <v>45806</v>
      </c>
      <c r="D147" s="13">
        <f t="shared" si="2"/>
        <v>7</v>
      </c>
    </row>
    <row r="148" spans="2:4" ht="15" thickBot="1" x14ac:dyDescent="0.4">
      <c r="B148" s="17">
        <v>45861</v>
      </c>
      <c r="C148" s="11">
        <v>45851</v>
      </c>
      <c r="D148" s="13">
        <f t="shared" si="2"/>
        <v>10</v>
      </c>
    </row>
    <row r="149" spans="2:4" ht="15" thickBot="1" x14ac:dyDescent="0.4">
      <c r="B149" s="17">
        <v>45842</v>
      </c>
      <c r="C149" s="11">
        <v>45837</v>
      </c>
      <c r="D149" s="13">
        <f t="shared" si="2"/>
        <v>5</v>
      </c>
    </row>
    <row r="150" spans="2:4" ht="15" thickBot="1" x14ac:dyDescent="0.4">
      <c r="B150" s="17">
        <v>45797</v>
      </c>
      <c r="C150" s="11">
        <v>45789</v>
      </c>
      <c r="D150" s="13">
        <f t="shared" si="2"/>
        <v>8</v>
      </c>
    </row>
    <row r="151" spans="2:4" ht="15" thickBot="1" x14ac:dyDescent="0.4">
      <c r="B151" s="17">
        <v>45835</v>
      </c>
      <c r="C151" s="11">
        <v>45825</v>
      </c>
      <c r="D151" s="13">
        <f t="shared" si="2"/>
        <v>10</v>
      </c>
    </row>
    <row r="152" spans="2:4" ht="15" thickBot="1" x14ac:dyDescent="0.4">
      <c r="B152" s="17">
        <v>45849</v>
      </c>
      <c r="C152" s="11">
        <v>45839</v>
      </c>
      <c r="D152" s="13">
        <f t="shared" si="2"/>
        <v>10</v>
      </c>
    </row>
    <row r="153" spans="2:4" ht="15" thickBot="1" x14ac:dyDescent="0.4">
      <c r="B153" s="17">
        <v>45794</v>
      </c>
      <c r="C153" s="11">
        <v>45785</v>
      </c>
      <c r="D153" s="13">
        <f t="shared" si="2"/>
        <v>9</v>
      </c>
    </row>
    <row r="154" spans="2:4" ht="15" thickBot="1" x14ac:dyDescent="0.4">
      <c r="B154" s="17">
        <v>45814</v>
      </c>
      <c r="C154" s="11">
        <v>45808</v>
      </c>
      <c r="D154" s="13">
        <f t="shared" si="2"/>
        <v>6</v>
      </c>
    </row>
    <row r="155" spans="2:4" ht="15" thickBot="1" x14ac:dyDescent="0.4">
      <c r="B155" s="17">
        <v>45814</v>
      </c>
      <c r="C155" s="11">
        <v>45809</v>
      </c>
      <c r="D155" s="13">
        <f t="shared" si="2"/>
        <v>5</v>
      </c>
    </row>
    <row r="156" spans="2:4" ht="15" thickBot="1" x14ac:dyDescent="0.4">
      <c r="B156" s="17">
        <v>45802</v>
      </c>
      <c r="C156" s="11">
        <v>45794</v>
      </c>
      <c r="D156" s="13">
        <f t="shared" si="2"/>
        <v>8</v>
      </c>
    </row>
    <row r="157" spans="2:4" ht="15" thickBot="1" x14ac:dyDescent="0.4">
      <c r="B157" s="17">
        <v>45789</v>
      </c>
      <c r="C157" s="11">
        <v>45783</v>
      </c>
      <c r="D157" s="13">
        <f t="shared" si="2"/>
        <v>6</v>
      </c>
    </row>
    <row r="158" spans="2:4" ht="15" thickBot="1" x14ac:dyDescent="0.4">
      <c r="B158" s="17">
        <v>45795</v>
      </c>
      <c r="C158" s="11">
        <v>45788</v>
      </c>
      <c r="D158" s="13">
        <f t="shared" si="2"/>
        <v>7</v>
      </c>
    </row>
    <row r="159" spans="2:4" ht="15" thickBot="1" x14ac:dyDescent="0.4">
      <c r="B159" s="17">
        <v>45843</v>
      </c>
      <c r="C159" s="11">
        <v>45833</v>
      </c>
      <c r="D159" s="13">
        <f t="shared" si="2"/>
        <v>10</v>
      </c>
    </row>
    <row r="160" spans="2:4" ht="15" thickBot="1" x14ac:dyDescent="0.4">
      <c r="B160" s="17">
        <v>45810</v>
      </c>
      <c r="C160" s="11">
        <v>45802</v>
      </c>
      <c r="D160" s="13">
        <f t="shared" si="2"/>
        <v>8</v>
      </c>
    </row>
    <row r="161" spans="2:4" ht="15" thickBot="1" x14ac:dyDescent="0.4">
      <c r="B161" s="17">
        <v>45814</v>
      </c>
      <c r="C161" s="11">
        <v>45808</v>
      </c>
      <c r="D161" s="13">
        <f t="shared" si="2"/>
        <v>6</v>
      </c>
    </row>
    <row r="162" spans="2:4" ht="15" thickBot="1" x14ac:dyDescent="0.4">
      <c r="B162" s="17">
        <v>45806</v>
      </c>
      <c r="C162" s="11">
        <v>45796</v>
      </c>
      <c r="D162" s="13">
        <f t="shared" si="2"/>
        <v>10</v>
      </c>
    </row>
    <row r="163" spans="2:4" ht="15" thickBot="1" x14ac:dyDescent="0.4">
      <c r="B163" s="17">
        <v>45812</v>
      </c>
      <c r="C163" s="11">
        <v>45803</v>
      </c>
      <c r="D163" s="13">
        <f t="shared" si="2"/>
        <v>9</v>
      </c>
    </row>
    <row r="164" spans="2:4" ht="15" thickBot="1" x14ac:dyDescent="0.4">
      <c r="B164" s="17">
        <v>45790</v>
      </c>
      <c r="C164" s="11">
        <v>45783</v>
      </c>
      <c r="D164" s="13">
        <f t="shared" si="2"/>
        <v>7</v>
      </c>
    </row>
    <row r="165" spans="2:4" ht="15" thickBot="1" x14ac:dyDescent="0.4">
      <c r="B165" s="17">
        <v>45808</v>
      </c>
      <c r="C165" s="11">
        <v>45800</v>
      </c>
      <c r="D165" s="13">
        <f t="shared" si="2"/>
        <v>8</v>
      </c>
    </row>
    <row r="166" spans="2:4" ht="15" thickBot="1" x14ac:dyDescent="0.4">
      <c r="B166" s="17">
        <v>45823</v>
      </c>
      <c r="C166" s="11">
        <v>45817</v>
      </c>
      <c r="D166" s="13">
        <f t="shared" si="2"/>
        <v>6</v>
      </c>
    </row>
    <row r="167" spans="2:4" ht="15" thickBot="1" x14ac:dyDescent="0.4">
      <c r="B167" s="17">
        <v>45857</v>
      </c>
      <c r="C167" s="11">
        <v>45852</v>
      </c>
      <c r="D167" s="13">
        <f t="shared" si="2"/>
        <v>5</v>
      </c>
    </row>
    <row r="168" spans="2:4" ht="15" thickBot="1" x14ac:dyDescent="0.4">
      <c r="B168" s="17">
        <v>45837</v>
      </c>
      <c r="C168" s="11">
        <v>45828</v>
      </c>
      <c r="D168" s="13">
        <f t="shared" si="2"/>
        <v>9</v>
      </c>
    </row>
    <row r="169" spans="2:4" ht="15" thickBot="1" x14ac:dyDescent="0.4">
      <c r="B169" s="17">
        <v>45816</v>
      </c>
      <c r="C169" s="11">
        <v>45807</v>
      </c>
      <c r="D169" s="13">
        <f t="shared" si="2"/>
        <v>9</v>
      </c>
    </row>
    <row r="170" spans="2:4" ht="15" thickBot="1" x14ac:dyDescent="0.4">
      <c r="B170" s="17">
        <v>45804</v>
      </c>
      <c r="C170" s="11">
        <v>45794</v>
      </c>
      <c r="D170" s="13">
        <f t="shared" si="2"/>
        <v>10</v>
      </c>
    </row>
    <row r="171" spans="2:4" ht="15" thickBot="1" x14ac:dyDescent="0.4">
      <c r="B171" s="17">
        <v>45842</v>
      </c>
      <c r="C171" s="11">
        <v>45833</v>
      </c>
      <c r="D171" s="13">
        <f t="shared" si="2"/>
        <v>9</v>
      </c>
    </row>
    <row r="172" spans="2:4" ht="15" thickBot="1" x14ac:dyDescent="0.4">
      <c r="B172" s="17">
        <v>45801</v>
      </c>
      <c r="C172" s="11">
        <v>45794</v>
      </c>
      <c r="D172" s="13">
        <f t="shared" si="2"/>
        <v>7</v>
      </c>
    </row>
    <row r="173" spans="2:4" ht="15" thickBot="1" x14ac:dyDescent="0.4">
      <c r="B173" s="17">
        <v>45792</v>
      </c>
      <c r="C173" s="11">
        <v>45786</v>
      </c>
      <c r="D173" s="13">
        <f t="shared" si="2"/>
        <v>6</v>
      </c>
    </row>
    <row r="174" spans="2:4" ht="15" thickBot="1" x14ac:dyDescent="0.4">
      <c r="B174" s="17">
        <v>45835</v>
      </c>
      <c r="C174" s="11">
        <v>45825</v>
      </c>
      <c r="D174" s="13">
        <f t="shared" si="2"/>
        <v>10</v>
      </c>
    </row>
    <row r="175" spans="2:4" ht="15" thickBot="1" x14ac:dyDescent="0.4">
      <c r="B175" s="17">
        <v>45842</v>
      </c>
      <c r="C175" s="11">
        <v>45833</v>
      </c>
      <c r="D175" s="13">
        <f t="shared" si="2"/>
        <v>9</v>
      </c>
    </row>
    <row r="176" spans="2:4" ht="15" thickBot="1" x14ac:dyDescent="0.4">
      <c r="B176" s="17">
        <v>45818</v>
      </c>
      <c r="C176" s="11">
        <v>45811</v>
      </c>
      <c r="D176" s="13">
        <f t="shared" si="2"/>
        <v>7</v>
      </c>
    </row>
    <row r="177" spans="2:4" ht="15" thickBot="1" x14ac:dyDescent="0.4">
      <c r="B177" s="17">
        <v>45832</v>
      </c>
      <c r="C177" s="11">
        <v>45825</v>
      </c>
      <c r="D177" s="13">
        <f t="shared" si="2"/>
        <v>7</v>
      </c>
    </row>
    <row r="178" spans="2:4" ht="15" thickBot="1" x14ac:dyDescent="0.4">
      <c r="B178" s="17">
        <v>45854</v>
      </c>
      <c r="C178" s="11">
        <v>45845</v>
      </c>
      <c r="D178" s="13">
        <f t="shared" si="2"/>
        <v>9</v>
      </c>
    </row>
    <row r="179" spans="2:4" ht="15" thickBot="1" x14ac:dyDescent="0.4">
      <c r="B179" s="17">
        <v>45838</v>
      </c>
      <c r="C179" s="11">
        <v>45833</v>
      </c>
      <c r="D179" s="13">
        <f t="shared" si="2"/>
        <v>5</v>
      </c>
    </row>
    <row r="180" spans="2:4" ht="15" thickBot="1" x14ac:dyDescent="0.4">
      <c r="B180" s="17">
        <v>45836</v>
      </c>
      <c r="C180" s="11">
        <v>45826</v>
      </c>
      <c r="D180" s="13">
        <f t="shared" si="2"/>
        <v>10</v>
      </c>
    </row>
    <row r="181" spans="2:4" ht="15" thickBot="1" x14ac:dyDescent="0.4">
      <c r="B181" s="17">
        <v>45846</v>
      </c>
      <c r="C181" s="11">
        <v>45837</v>
      </c>
      <c r="D181" s="13">
        <f t="shared" si="2"/>
        <v>9</v>
      </c>
    </row>
    <row r="182" spans="2:4" ht="15" thickBot="1" x14ac:dyDescent="0.4">
      <c r="B182" s="17">
        <v>45864</v>
      </c>
      <c r="C182" s="11">
        <v>45858</v>
      </c>
      <c r="D182" s="13">
        <f t="shared" si="2"/>
        <v>6</v>
      </c>
    </row>
    <row r="183" spans="2:4" ht="15" thickBot="1" x14ac:dyDescent="0.4">
      <c r="B183" s="17">
        <v>45808</v>
      </c>
      <c r="C183" s="11">
        <v>45798</v>
      </c>
      <c r="D183" s="13">
        <f t="shared" si="2"/>
        <v>10</v>
      </c>
    </row>
    <row r="184" spans="2:4" ht="15" thickBot="1" x14ac:dyDescent="0.4">
      <c r="B184" s="17">
        <v>45827</v>
      </c>
      <c r="C184" s="11">
        <v>45818</v>
      </c>
      <c r="D184" s="13">
        <f t="shared" si="2"/>
        <v>9</v>
      </c>
    </row>
    <row r="185" spans="2:4" ht="15" thickBot="1" x14ac:dyDescent="0.4">
      <c r="B185" s="17">
        <v>45816</v>
      </c>
      <c r="C185" s="11">
        <v>45807</v>
      </c>
      <c r="D185" s="13">
        <f t="shared" si="2"/>
        <v>9</v>
      </c>
    </row>
    <row r="186" spans="2:4" ht="15" thickBot="1" x14ac:dyDescent="0.4">
      <c r="B186" s="17">
        <v>45858</v>
      </c>
      <c r="C186" s="11">
        <v>45853</v>
      </c>
      <c r="D186" s="13">
        <f t="shared" si="2"/>
        <v>5</v>
      </c>
    </row>
    <row r="187" spans="2:4" ht="15" thickBot="1" x14ac:dyDescent="0.4">
      <c r="B187" s="17">
        <v>45801</v>
      </c>
      <c r="C187" s="11">
        <v>45792</v>
      </c>
      <c r="D187" s="13">
        <f t="shared" si="2"/>
        <v>9</v>
      </c>
    </row>
    <row r="188" spans="2:4" ht="15" thickBot="1" x14ac:dyDescent="0.4">
      <c r="B188" s="17">
        <v>45829</v>
      </c>
      <c r="C188" s="11">
        <v>45824</v>
      </c>
      <c r="D188" s="13">
        <f t="shared" si="2"/>
        <v>5</v>
      </c>
    </row>
    <row r="189" spans="2:4" ht="15" thickBot="1" x14ac:dyDescent="0.4">
      <c r="B189" s="17">
        <v>45804</v>
      </c>
      <c r="C189" s="11">
        <v>45799</v>
      </c>
      <c r="D189" s="13">
        <f t="shared" si="2"/>
        <v>5</v>
      </c>
    </row>
    <row r="190" spans="2:4" ht="15" thickBot="1" x14ac:dyDescent="0.4">
      <c r="B190" s="17">
        <v>45824</v>
      </c>
      <c r="C190" s="11">
        <v>45817</v>
      </c>
      <c r="D190" s="13">
        <f t="shared" si="2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Bermeo Grandez</dc:creator>
  <cp:lastModifiedBy>John Michel Bermeo Grandez</cp:lastModifiedBy>
  <dcterms:created xsi:type="dcterms:W3CDTF">2025-09-22T20:08:18Z</dcterms:created>
  <dcterms:modified xsi:type="dcterms:W3CDTF">2025-10-31T16:48:26Z</dcterms:modified>
</cp:coreProperties>
</file>